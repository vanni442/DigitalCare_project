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UOW\2026 SPRING\ISIT906 (S226) Information Design and Content Management\ASSIGNMENT 2\20260923\"/>
    </mc:Choice>
  </mc:AlternateContent>
  <xr:revisionPtr revIDLastSave="0" documentId="13_ncr:1_{748330F7-484E-4D8E-942E-BE7F0ACC61F5}" xr6:coauthVersionLast="47" xr6:coauthVersionMax="47" xr10:uidLastSave="{00000000-0000-0000-0000-000000000000}"/>
  <bookViews>
    <workbookView xWindow="-110" yWindow="-110" windowWidth="19420" windowHeight="11500" tabRatio="756" activeTab="1" xr2:uid="{00000000-000D-0000-FFFF-FFFF00000000}"/>
  </bookViews>
  <sheets>
    <sheet name="1. Competency Questions" sheetId="1" r:id="rId1"/>
    <sheet name="2. Classes" sheetId="2" r:id="rId2"/>
    <sheet name="3. Relationships" sheetId="3" r:id="rId3"/>
    <sheet name="4. Attributes" sheetId="4" r:id="rId4"/>
    <sheet name="5. Sample data" sheetId="5" r:id="rId5"/>
    <sheet name="6. Traceability" sheetId="6" r:id="rId6"/>
  </sheets>
  <definedNames>
    <definedName name="_xlnm._FilterDatabase" localSheetId="1" hidden="1">'2. Classes'!$A$4:$F$4</definedName>
    <definedName name="_xlnm._FilterDatabase" localSheetId="5" hidden="1">'6. Traceability'!$A$4:$N$49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3" l="1"/>
  <c r="G38" i="3"/>
  <c r="G37" i="3"/>
  <c r="G36" i="3"/>
  <c r="G35" i="3"/>
  <c r="G34" i="3"/>
  <c r="G33" i="3"/>
  <c r="G32" i="3"/>
  <c r="G31" i="3"/>
  <c r="G30" i="3"/>
  <c r="G29" i="3"/>
  <c r="G28" i="3"/>
  <c r="G27" i="3"/>
  <c r="G26" i="3"/>
  <c r="G25" i="3"/>
  <c r="G24" i="3"/>
  <c r="G23" i="3"/>
  <c r="G22" i="3"/>
  <c r="G21" i="3"/>
  <c r="G19" i="3"/>
  <c r="G18" i="3"/>
  <c r="G17" i="3"/>
  <c r="G16" i="3"/>
  <c r="G15" i="3"/>
  <c r="G14" i="3"/>
</calcChain>
</file>

<file path=xl/sharedStrings.xml><?xml version="1.0" encoding="utf-8"?>
<sst xmlns="http://schemas.openxmlformats.org/spreadsheetml/2006/main" count="1281" uniqueCount="446">
  <si>
    <t>Stage 4 — Attributes</t>
  </si>
  <si>
    <t>Aim: record the facts a thing carries on its own, rather than links between two things. Minimum 4. If the value points at another class you are also modelling, it belongs on the Relationships tab instead.</t>
  </si>
  <si>
    <t>Finished when: at least 4 attributes, each with a class, a datatype and a realistic example value.</t>
  </si>
  <si>
    <t>Class it belongs to</t>
  </si>
  <si>
    <t>Attribute name</t>
  </si>
  <si>
    <t>Datatype</t>
  </si>
  <si>
    <t>Example value</t>
  </si>
  <si>
    <t>Used by which CQs</t>
  </si>
  <si>
    <t>Person</t>
  </si>
  <si>
    <t>displayName</t>
  </si>
  <si>
    <t>xsd:string</t>
  </si>
  <si>
    <t>Joe</t>
  </si>
  <si>
    <t>CQ1–CQ8</t>
  </si>
  <si>
    <t>HealthcareProfessional</t>
  </si>
  <si>
    <t>professionalRole</t>
  </si>
  <si>
    <t>Geriatrician</t>
  </si>
  <si>
    <t>CQ2</t>
  </si>
  <si>
    <t>StaffMember</t>
  </si>
  <si>
    <t>staffRole</t>
  </si>
  <si>
    <t>Dementia support worker</t>
  </si>
  <si>
    <t>CQ8</t>
  </si>
  <si>
    <t>HealthCondition</t>
  </si>
  <si>
    <t>conditionName</t>
  </si>
  <si>
    <t>Dementia</t>
  </si>
  <si>
    <t>CQ1, CQ2, CQ3, CQ5, CQ6, CQ7</t>
  </si>
  <si>
    <t>DementiaType</t>
  </si>
  <si>
    <t>typeDescription</t>
  </si>
  <si>
    <t>Alzheimer’s disease</t>
  </si>
  <si>
    <t>CQ1, CQ2, CQ6, CQ7</t>
  </si>
  <si>
    <t>Symptom</t>
  </si>
  <si>
    <t>symptomName</t>
  </si>
  <si>
    <t>Short-term memory loss</t>
  </si>
  <si>
    <t>CQ5, CQ6, CQ9</t>
  </si>
  <si>
    <t>DailyTaskStruggling</t>
  </si>
  <si>
    <t>difficultyDescription</t>
  </si>
  <si>
    <t>Difficulty managing medication</t>
  </si>
  <si>
    <t>CQ1</t>
  </si>
  <si>
    <t>Guide</t>
  </si>
  <si>
    <t>title</t>
  </si>
  <si>
    <t>Managing daily tasks with dementia</t>
  </si>
  <si>
    <t>CQ1, CQ2, CQ4, CQ6, CQ7, CQ9</t>
  </si>
  <si>
    <t>publishedOn</t>
  </si>
  <si>
    <t>xsd:date</t>
  </si>
  <si>
    <t>CQ6</t>
  </si>
  <si>
    <t>lastReviewedOn</t>
  </si>
  <si>
    <t>readingLevel</t>
  </si>
  <si>
    <t>Plain English</t>
  </si>
  <si>
    <t>isDownloadable</t>
  </si>
  <si>
    <t>xsd:boolean</t>
  </si>
  <si>
    <t>CQ4</t>
  </si>
  <si>
    <t>isPrintable</t>
  </si>
  <si>
    <t>downloadURL</t>
  </si>
  <si>
    <t>xsd:anyURI</t>
  </si>
  <si>
    <t>supportsLargeText</t>
  </si>
  <si>
    <t>Organization</t>
  </si>
  <si>
    <t>organizationName</t>
  </si>
  <si>
    <t>Dementia Australia</t>
  </si>
  <si>
    <t>CQ3, CQ8</t>
  </si>
  <si>
    <t>SupportService</t>
  </si>
  <si>
    <t>serviceName</t>
  </si>
  <si>
    <t>Dementia Australia Helpline</t>
  </si>
  <si>
    <t>CQ3</t>
  </si>
  <si>
    <t>phoneNumber</t>
  </si>
  <si>
    <t>1800 100 500</t>
  </si>
  <si>
    <t>CareCentre</t>
  </si>
  <si>
    <t>centreName</t>
  </si>
  <si>
    <t>St Vincent's Health Australia</t>
  </si>
  <si>
    <t>Location</t>
  </si>
  <si>
    <t>regionName</t>
  </si>
  <si>
    <t>Victoria</t>
  </si>
  <si>
    <t>postcode</t>
  </si>
  <si>
    <t>Language</t>
  </si>
  <si>
    <t>languageName</t>
  </si>
  <si>
    <t>Chinese</t>
  </si>
  <si>
    <t>CQ7, CQ8</t>
  </si>
  <si>
    <t>DocumentFormat</t>
  </si>
  <si>
    <t>formatName</t>
  </si>
  <si>
    <t>PDF</t>
  </si>
  <si>
    <t>formatType</t>
  </si>
  <si>
    <t>application/pdf</t>
  </si>
  <si>
    <t>PrivacyPolicy</t>
  </si>
  <si>
    <t>policyURL</t>
  </si>
  <si>
    <t>CQ5</t>
  </si>
  <si>
    <t>isReliable</t>
  </si>
  <si>
    <t>reliabilityEvidence</t>
  </si>
  <si>
    <t>Verified via Dementia Australia service directory, 2026</t>
  </si>
  <si>
    <t>distanceKm</t>
  </si>
  <si>
    <t>xsd:decimal</t>
  </si>
  <si>
    <t>requiresPersonalInformationForSearch</t>
  </si>
  <si>
    <t>searchRequirementEvidence</t>
  </si>
  <si>
    <t>Digital Care Privacy Policy, section 3</t>
  </si>
  <si>
    <t>OlderAdult</t>
  </si>
  <si>
    <t>nearbyRadiusKm</t>
  </si>
  <si>
    <t>Stage 1 — Competency questions</t>
  </si>
  <si>
    <t>Aim: state what your site must be able to answer, so that the model you build next has something to be judged against. 6 to 8 questions, each in a named stakeholder's own words and traced to a requirement ID from Part 3 of the assignment. Across the set you need at least three needing two or more relationships, at least one that counts or groups, and at least one that can only be answered in part.</t>
  </si>
  <si>
    <t>Finished when: 6–8 questions, each with a persona and a requirement ID, and the Type column used to mark at least three multi-hop, one counting, and one incomplete. Return to columns H and I after Stage 5.</t>
  </si>
  <si>
    <t>CQ ID</t>
  </si>
  <si>
    <t>The question this stage answers</t>
  </si>
  <si>
    <t>Who asks it (persona)</t>
  </si>
  <si>
    <t>Requirement ID</t>
  </si>
  <si>
    <t>Type</t>
  </si>
  <si>
    <t>Path it needs (Class —rel→ Class —rel→ Class)</t>
  </si>
  <si>
    <t xml:space="preserve">Hops </t>
  </si>
  <si>
    <t>Model answers it?</t>
  </si>
  <si>
    <t>If not — what we changed</t>
  </si>
  <si>
    <t>Mum’s dementia is getting harder to manage, and I don’t know where to start. Where I can find a simple guide written for carers how to deal with difficult daily tasks struggling of my mother?</t>
  </si>
  <si>
    <t>Sarah—Unpaid carer</t>
  </si>
  <si>
    <t>FR01, FR02, CR01, CR03</t>
  </si>
  <si>
    <t>Multi-relationship</t>
  </si>
  <si>
    <t>Yes</t>
  </si>
  <si>
    <t>Which dementia guides for carers about my mum’s type of dementia have been reviewed by a healthcare professional?</t>
  </si>
  <si>
    <t>FR02, CR03, GR04</t>
  </si>
  <si>
    <t>How many reliable and nearest support services or organisations in NSW I can call for help in case of mother's urgencies?</t>
  </si>
  <si>
    <t>CR05, FR01, FR03</t>
  </si>
  <si>
    <t>Multi-relationship, Counting, Incomplete answer</t>
  </si>
  <si>
    <t>Carer —caresFor→ OlderAdult —hasCondition→ HealthCondition ←supportsCondition— SupportService —isLocatedIn→ Location</t>
  </si>
  <si>
    <t>Which dementia care guides for carers can I download or print to read offline on smartphone?</t>
  </si>
  <si>
    <t>FR02, FR04, CR03, TR01</t>
  </si>
  <si>
    <t>Carer ←isIntendedFor—  Guide —isAvailableInFormat→ DocumentFormat
isDownloadable: true / isPrintable: true</t>
  </si>
  <si>
    <t>Can I search for Alzheimer’s symptoms without giving the website my privacy information?</t>
  </si>
  <si>
    <t>Chen —Older adult</t>
  </si>
  <si>
    <t>FR01, GR01, GR02</t>
  </si>
  <si>
    <t>Multi-relationship, Incomplete answer</t>
  </si>
  <si>
    <t>HealthCondition —hasSymptom→ Symptom ←describes— Guide —isGovernedBy→ PrivacyPolicy</t>
  </si>
  <si>
    <t>Which Alzheimer’s symptoms written for older people were published most recently I can read in larger text size?</t>
  </si>
  <si>
    <t>FR02, CR02, CR03, TR03</t>
  </si>
  <si>
    <t>CQ7</t>
  </si>
  <si>
    <t>Which Alzheimer’s guides are written for older people and available in Chinese?</t>
  </si>
  <si>
    <t>FR02, CR03, CR04</t>
  </si>
  <si>
    <t>OlderAdult ←isIntendedFor— Guide —isRelatedTo→ AlzheimersDementia and Guide —isAvailableIn→ Language (Chinese)</t>
  </si>
  <si>
    <t>Is there a care centre near my area in Victoria with someone who speaks Chinese?</t>
  </si>
  <si>
    <t>OlderAdult —isLocatedIn→ Location (Victoria) ←isLocatedIn— CareCentre —hasStaffMember→ StaffMember —speaksLanguage→ Language (Chinese)</t>
  </si>
  <si>
    <t>CQ9</t>
  </si>
  <si>
    <t>Is there a guide that can help me compare different dementia symptoms my mother might experience?</t>
  </si>
  <si>
    <t>FR02, CR01, CR03</t>
  </si>
  <si>
    <t>Multi-relationship, Counting</t>
  </si>
  <si>
    <t>Stage 2 — Classes</t>
  </si>
  <si>
    <t>Aim: name the kinds of thing your questions talk about. Take the nouns you underlined. Singular noun, CamelCase, no spaces. Minimum 8, and at least 2 must be a more specific kind of another (fill the 'Subclass of' column for those). Every class must be used by at least one competency question — rubric 4.3 checks this.</t>
  </si>
  <si>
    <t>Finished when: at least 8 classes, at least 2 with a Subclass of entry, no empty 'Used by which CQs' cell, and at least one reused term with a reason.</t>
  </si>
  <si>
    <t>Class name</t>
  </si>
  <si>
    <t>What it is (one line)</t>
  </si>
  <si>
    <t>Subclass of (leave blank if top level)</t>
  </si>
  <si>
    <t>Reused from (schema.org, dcterms, SNOMED…)</t>
  </si>
  <si>
    <t>Why we reused it</t>
  </si>
  <si>
    <t>An individual human actor interacting with or referenced in the care system</t>
  </si>
  <si>
    <t>https://schema.org/Person</t>
  </si>
  <si>
    <t xml:space="preserve">Provides a standard general class for people.                                                                                                                                                                                               </t>
  </si>
  <si>
    <t>Carer</t>
  </si>
  <si>
    <t>An unpaid family member or friend providing routine care and seeking actionable advice</t>
  </si>
  <si>
    <t>An individual receiving care, living with cognitive decline or diagnosed dementia</t>
  </si>
  <si>
    <t>CQ1, CQ2, CQ3, CQ5, CQ6, CQ7, CQ8</t>
  </si>
  <si>
    <t>A credentialed medical practitioner or clinician who reviews and validates content</t>
  </si>
  <si>
    <t>https://schema.org/Physician</t>
  </si>
  <si>
    <t>Establishes clinical governance and accountability for published care guidelines.</t>
  </si>
  <si>
    <t>A healthcare or administrative worker employed at an operating community care facility</t>
  </si>
  <si>
    <t>https://schema.org/EmployeeRole</t>
  </si>
  <si>
    <t>Enables service directory queries based on individual staff competencies (e.g. spoken languages).</t>
  </si>
  <si>
    <t>InformationTopic</t>
  </si>
  <si>
    <t>A general topic or information need that a Guide can relate to</t>
  </si>
  <si>
    <t>CQ1, CQ2, CQ6, CQ7, CQ9</t>
  </si>
  <si>
    <t>Specifying the health condition(s) of a patient, medical study, or other target audience.</t>
  </si>
  <si>
    <t>https://schema.org/MedicalCondition</t>
  </si>
  <si>
    <t>Provides a recognised medical meaning for symptoms.</t>
  </si>
  <si>
    <t>A specific clinical subtype of dementia (e.g., Alzheimer’s, Vascular, Lewy Body)</t>
  </si>
  <si>
    <t>CQ2, CQ6, CQ7</t>
  </si>
  <si>
    <t>AlzheimersDisease</t>
  </si>
  <si>
    <t>A specific neurodegenerative disease characterised by progressive memory loss</t>
  </si>
  <si>
    <t>An observable cognitive, behavioral, or physical manifestation of a condition</t>
  </si>
  <si>
    <t>Struggling to complete routine activities like cooking, driving, or managing medications.</t>
  </si>
  <si>
    <t>A structured digital publication, toolkit, or practical advice document</t>
  </si>
  <si>
    <t>https://schema.org/Guide</t>
  </si>
  <si>
    <t>Standardises instructional documents for search engine crawling and content aggregation.</t>
  </si>
  <si>
    <t>An organisation responsible for a support service or care centre.</t>
  </si>
  <si>
    <t>https://schema.org/Organization</t>
  </si>
  <si>
    <t>Provides a standard class for service providers.</t>
  </si>
  <si>
    <t>A registered local healthcare centre, respite provider, or community organisation</t>
  </si>
  <si>
    <t>An organisation or centre providing in-person care or support.</t>
  </si>
  <si>
    <t xml:space="preserve">The region in which the locality is, and which is in the country. </t>
  </si>
  <si>
    <t>https://schema.org/PostalAddress</t>
  </si>
  <si>
    <t>Represents service areas using an established geographical concept.</t>
  </si>
  <si>
    <t>A formal spoken or written natural language (e.g., Mandarin, English)</t>
  </si>
  <si>
    <t>The format in which a guide is provided, such as PDF.</t>
  </si>
  <si>
    <t>A policy explaining how Digital Care handles personal information.</t>
  </si>
  <si>
    <t>SymptomComparisonGuide</t>
  </si>
  <si>
    <t>A Guide that sets two or more symptoms side by side so a reader can tell them apart.</t>
  </si>
  <si>
    <t>CarerGuide</t>
  </si>
  <si>
    <t>Defined class. A Guide whose intended audience includes a Carer. Membership is inferred, never asserted.</t>
  </si>
  <si>
    <t>CQ1, CQ4</t>
  </si>
  <si>
    <t>ProfessionallyReviewedGuide</t>
  </si>
  <si>
    <t>Defined class. A Guide signed off by a healthcare professional. Membership is inferred, never asserted.</t>
  </si>
  <si>
    <t>OlderAdultGuide</t>
  </si>
  <si>
    <t>Defined class. A Guide whose intended audience includes an OlderAdult. Membership is inferred, never asserted.</t>
  </si>
  <si>
    <t>CQ6, CQ7</t>
  </si>
  <si>
    <t>Stage 3 — Relationships</t>
  </si>
  <si>
    <t>Aim: state how one kind of thing is connected to another. This is what the assignment is really testing, and rubric 4.4 is worth 8 points on this tab alone. Take the verbs you underlined. Minimum 6. Name every one as a verb phrase in lowerCamelCase. From = what Protégé calls the domain; To = the range. Read column G aloud — if it is not a sentence, the name is wrong.</t>
  </si>
  <si>
    <t>Finished when: at least 6 relationships, every one with a From and a To, every one used by a question, every column G reading as a sentence, and at least one Character other than 'none'.</t>
  </si>
  <si>
    <t>From  (domain)</t>
  </si>
  <si>
    <t>Relationship name  (verb phrase)</t>
  </si>
  <si>
    <t>To  (range)</t>
  </si>
  <si>
    <t>Inverse name (optional)</t>
  </si>
  <si>
    <t>Character</t>
  </si>
  <si>
    <t>Read-aloud check</t>
  </si>
  <si>
    <t>caresFor</t>
  </si>
  <si>
    <t>none</t>
  </si>
  <si>
    <t>CQ1, CQ2, CQ3</t>
  </si>
  <si>
    <t>a Carer caresFor a OlderAdult</t>
  </si>
  <si>
    <t>hasCondition</t>
  </si>
  <si>
    <t>CQ1, CQ2, CQ3, CQ6</t>
  </si>
  <si>
    <t>a OlderAdult hasCondition a healthCondition</t>
  </si>
  <si>
    <t>addresses</t>
  </si>
  <si>
    <t>isAddressedIn</t>
  </si>
  <si>
    <t>inverse</t>
  </si>
  <si>
    <t>a Guide addresses a healthCondition</t>
  </si>
  <si>
    <t>isRelatedTo</t>
  </si>
  <si>
    <t>a Guide is related to an InformationTopic</t>
  </si>
  <si>
    <t>isReviewedBy</t>
  </si>
  <si>
    <t>a Guide isReviewedBy a HealthcareProfessional</t>
  </si>
  <si>
    <t>supportsCondition</t>
  </si>
  <si>
    <t>isSupportedBy</t>
  </si>
  <si>
    <t>a SupportService supportsCondition HealthCondition</t>
  </si>
  <si>
    <t>OlderAdult OR SupportService OR CareCentre</t>
  </si>
  <si>
    <t>isLocatedIn</t>
  </si>
  <si>
    <t>an OlderAdult, a SupportService, or a CareCentre is located in a Location</t>
  </si>
  <si>
    <t>isIntendedFor</t>
  </si>
  <si>
    <t>isTargetAudienceOf</t>
  </si>
  <si>
    <t>a Guide isIntended for a Person</t>
  </si>
  <si>
    <t>isAvailableInFormat</t>
  </si>
  <si>
    <t>a Guide isAvailableInFormat a DocumentFormat</t>
  </si>
  <si>
    <t>hasSymptom</t>
  </si>
  <si>
    <t>CQ5, CQ6</t>
  </si>
  <si>
    <t>describes</t>
  </si>
  <si>
    <t>isDescribedIn</t>
  </si>
  <si>
    <t>isGovernedBy</t>
  </si>
  <si>
    <t>isAvailableIn</t>
  </si>
  <si>
    <t xml:space="preserve">Language </t>
  </si>
  <si>
    <t>hasStaffMember</t>
  </si>
  <si>
    <t>speaksLanguage</t>
  </si>
  <si>
    <t>caresForSomeoneWith</t>
  </si>
  <si>
    <t>CQ1, CQ2</t>
  </si>
  <si>
    <t>a Carer caresForSomeoneWith a HealthCondition</t>
  </si>
  <si>
    <t>Stage 5 — Sample data</t>
  </si>
  <si>
    <t>Aim: prove the model works by answering your own questions with real rows. One row per fact — this is a set of RDF triples: Subject — Relationship — Object. You need at least 3 individuals in every class a competency question touches, and at least one example of EVERY relationship you declared. Individuals are cheap; the links are what is marked.</t>
  </si>
  <si>
    <t>Finished when: at least 12 rows, every declared relationship used at least once, and every competency question traced through these rows — with column H of the Stage 1 tab updated to say whether it worked.</t>
  </si>
  <si>
    <t>Subject (individual)</t>
  </si>
  <si>
    <t>Relationship or attribute</t>
  </si>
  <si>
    <t>Object / value</t>
  </si>
  <si>
    <t>Class of the subject</t>
  </si>
  <si>
    <t>Is this a…</t>
  </si>
  <si>
    <t>Notes</t>
  </si>
  <si>
    <t>SarahCarer</t>
  </si>
  <si>
    <t>MaryOlderAdult</t>
  </si>
  <si>
    <t>relationship</t>
  </si>
  <si>
    <t>CQ1,CQ2,CQ3</t>
  </si>
  <si>
    <t>DavidCarer</t>
  </si>
  <si>
    <t>RobertOlderAdult</t>
  </si>
  <si>
    <t>additional carer individual</t>
  </si>
  <si>
    <t>MeiCarer</t>
  </si>
  <si>
    <t>ChenOlderAdult</t>
  </si>
  <si>
    <t>AlzheimersDementia</t>
  </si>
  <si>
    <t>CQ1,CQ2,CQ3,CQ6</t>
  </si>
  <si>
    <t>VascularDementia</t>
  </si>
  <si>
    <t>additional older adult/ health condition example</t>
  </si>
  <si>
    <t>LewyBodyDementia</t>
  </si>
  <si>
    <t>DailyCareGuide</t>
  </si>
  <si>
    <t>CQ1,CQ2</t>
  </si>
  <si>
    <t>VascularCareGuide</t>
  </si>
  <si>
    <t>Additional Guide example</t>
  </si>
  <si>
    <t>LewyBodyCareGuide</t>
  </si>
  <si>
    <t>BathingDifficulty</t>
  </si>
  <si>
    <t>CQ1/Daily task</t>
  </si>
  <si>
    <t>DressingDifficulty</t>
  </si>
  <si>
    <t>Additional DailyTaskStruggling example</t>
  </si>
  <si>
    <t>EatingDifficulty</t>
  </si>
  <si>
    <t>DrLee</t>
  </si>
  <si>
    <t>DrPatel</t>
  </si>
  <si>
    <t>Additional healthcare professional</t>
  </si>
  <si>
    <t>DrNguyen</t>
  </si>
  <si>
    <t>AlzheimerType</t>
  </si>
  <si>
    <t>VascularType</t>
  </si>
  <si>
    <t>Additional Dementia Type</t>
  </si>
  <si>
    <t>LewyBodyType</t>
  </si>
  <si>
    <t>DementiaSupportNSW</t>
  </si>
  <si>
    <t>CarerHelpNSW</t>
  </si>
  <si>
    <t>CQ3, allows counting</t>
  </si>
  <si>
    <t>MemorySupportNSW</t>
  </si>
  <si>
    <t>NSW</t>
  </si>
  <si>
    <t>CarerCommunicationGuide</t>
  </si>
  <si>
    <t>Additional carer-targetted guide</t>
  </si>
  <si>
    <t>PracticalCarerGuide</t>
  </si>
  <si>
    <t>PrintableWebPage</t>
  </si>
  <si>
    <t>Additional document format</t>
  </si>
  <si>
    <t>HTML</t>
  </si>
  <si>
    <t>attribute</t>
  </si>
  <si>
    <t>CQ4-only if this is in stage 4</t>
  </si>
  <si>
    <t>MemoryLoss</t>
  </si>
  <si>
    <t>Confusion</t>
  </si>
  <si>
    <t>Additional Symptom</t>
  </si>
  <si>
    <t>VisualHallucination</t>
  </si>
  <si>
    <t>SymptomsGuide</t>
  </si>
  <si>
    <t>CQ5,CQ6</t>
  </si>
  <si>
    <t>VascularSymptomsGuide</t>
  </si>
  <si>
    <t>Additional Symptom/ Guide example</t>
  </si>
  <si>
    <t>LewyBodySymptomsGuide</t>
  </si>
  <si>
    <t>DigitalCarePrivacyPolicy</t>
  </si>
  <si>
    <t>Additional privacy policy</t>
  </si>
  <si>
    <t>SupportPrivacyPolicy</t>
  </si>
  <si>
    <t>CQ6-Older Adult/ audience</t>
  </si>
  <si>
    <t>Additional Older adult- targetted guide</t>
  </si>
  <si>
    <t>CQ6-required for 'most recently'</t>
  </si>
  <si>
    <t>CQ6 comparison</t>
  </si>
  <si>
    <t>CQ6-if Stage 4 includes this</t>
  </si>
  <si>
    <t>ChineseAlzheimersGuide</t>
  </si>
  <si>
    <t>EnglishAlzheimersGuide</t>
  </si>
  <si>
    <t>CQ7 comparison</t>
  </si>
  <si>
    <t>ItalianAlzheimersGuide</t>
  </si>
  <si>
    <t xml:space="preserve">CQ7 </t>
  </si>
  <si>
    <t>English</t>
  </si>
  <si>
    <t>Additional Language</t>
  </si>
  <si>
    <t>Italian</t>
  </si>
  <si>
    <t>JoeOlderAdult</t>
  </si>
  <si>
    <t>CQ8-requires new relationship in stage 3</t>
  </si>
  <si>
    <t>Additional location example</t>
  </si>
  <si>
    <t>MelbourneCareCentre</t>
  </si>
  <si>
    <t>SydneyCareCentre</t>
  </si>
  <si>
    <t>Additional care centre</t>
  </si>
  <si>
    <t>BrisbaneCareCentre</t>
  </si>
  <si>
    <t>Queensland</t>
  </si>
  <si>
    <t>LiChen</t>
  </si>
  <si>
    <t>AnnaWong</t>
  </si>
  <si>
    <t>Additional StaffMember</t>
  </si>
  <si>
    <t>LucaRossi</t>
  </si>
  <si>
    <t>Additional Language example</t>
  </si>
  <si>
    <t>1800 100 501</t>
  </si>
  <si>
    <t>1800 100 502</t>
  </si>
  <si>
    <t>DementiaSymptomComparisonGuide</t>
  </si>
  <si>
    <t>CQ9 - dementia type context</t>
  </si>
  <si>
    <t>CQ9 - Sarah is the persona</t>
  </si>
  <si>
    <t>2026-05-10</t>
  </si>
  <si>
    <t>EarlySignsComparisonGuide</t>
  </si>
  <si>
    <t>CQ9 - second comparison guide</t>
  </si>
  <si>
    <t>2026-07-02</t>
  </si>
  <si>
    <t>CQ3 - recorded reliable</t>
  </si>
  <si>
    <t>CQ3 - source for reliability</t>
  </si>
  <si>
    <t>CQ3 - distance from Mary; inside her 15 km radius</t>
  </si>
  <si>
    <t>Listed on Carer Gateway service finder, 2026</t>
  </si>
  <si>
    <t>CQ3 - nearest service to Mary</t>
  </si>
  <si>
    <t>CQ3 - excluded: not recorded as reliable</t>
  </si>
  <si>
    <t>No current listing in a verified service directory, 2026</t>
  </si>
  <si>
    <t>CQ3 - excluded: outside Mary's 15 km radius</t>
  </si>
  <si>
    <t>CQ8 - distance from Chen; inside his 10 km radius</t>
  </si>
  <si>
    <t>CQ8 comparison - outside radius (estimated sample value)</t>
  </si>
  <si>
    <t>CQ8 - what 'near my area' means for Chen</t>
  </si>
  <si>
    <t>CQ3 - what 'nearest' means for Mary</t>
  </si>
  <si>
    <t>CQ5 - symptom search needs no personal information</t>
  </si>
  <si>
    <t>CQ5 - source</t>
  </si>
  <si>
    <t>CQ5 comparison - contact form needs personal information</t>
  </si>
  <si>
    <t>Support Privacy Policy, section 2: contact form requires name and email</t>
  </si>
  <si>
    <t>CQ5 comparison - source</t>
  </si>
  <si>
    <t>Stage 6 — Traceability to Assignment 2</t>
  </si>
  <si>
    <t>Aim: commit to how each part of the model will be built in WordPress, so that Assignment 2 starts from a plan rather than a blank page. One row for EVERY class and EVERY relationship. If something has no obvious WordPress realisation, say so and suggest an alternative — that is a legitimate finding and it scores.</t>
  </si>
  <si>
    <t>Finished when: every class and every relationship from the tabs above appears here exactly once. Complete this after the model has stopped changing.</t>
  </si>
  <si>
    <t>Model element</t>
  </si>
  <si>
    <t>WordPress realisation</t>
  </si>
  <si>
    <t>Questions served</t>
  </si>
  <si>
    <t>Class</t>
  </si>
  <si>
    <t>No standalone public profile. Represented only through author, reviewer or staff display fields on relevant content; personal accounts are outside the initial scope.</t>
  </si>
  <si>
    <t>Audience taxonomy and a 'For Carers' landing page; no proxy account or access to an older person's health information.</t>
  </si>
  <si>
    <t>Audience taxonomy and a 'For Older People' landing page; no personal health profile is stored.</t>
  </si>
  <si>
    <t>Reviewer record/reference field storing name, professional role and credentials; displayed with each reviewed Guide.</t>
  </si>
  <si>
    <t>Staff name, role and language fields attached to a CareCentre record; not a WordPress user account.</t>
  </si>
  <si>
    <t>General topic taxonomy used to organise Guides by users’ information needs, including health conditions, dementia types and symptoms/daily-task difficulties</t>
  </si>
  <si>
    <t>Hierarchical Health Condition taxonomy with topic pages, applied to Guides, Symptoms and Support Services.</t>
  </si>
  <si>
    <t>Child terms/pages within the Health Condition taxonomy, used to filter condition-specific Guides and Symptoms.</t>
  </si>
  <si>
    <t>Dedicated Alzheimer's topic page and taxonomy term under DementiaType.</t>
  </si>
  <si>
    <t>Symptom Custom Post Type with searchable pages and links to related conditions and Guides.</t>
  </si>
  <si>
    <t>Child category/term within the Symptom structure, used to group practical daily-task Guides.</t>
  </si>
  <si>
    <t>Guide Custom Post Type with fields for title, publication/review dates, reading level, download/print links and accessibility information.</t>
  </si>
  <si>
    <t>Hierarchical location taxonomy plus postcode field, used to filter services and care centres by state or area.</t>
  </si>
  <si>
    <t>Language taxonomy assigned to Guides and staff records, with a Chinese-language filter.</t>
  </si>
  <si>
    <t>Guide format taxonomy/custom field (for example, PDF or HTML), with download and print links.</t>
  </si>
  <si>
    <t>caresFor (Carer → OlderAdult)</t>
  </si>
  <si>
    <t>Relationship</t>
  </si>
  <si>
    <t>No stored WordPress relationship because the site does not keep personal care profiles. Represent it only through example scenarios in carer guidance.</t>
  </si>
  <si>
    <t>hasCondition (OlderAdult → HealthCondition)</t>
  </si>
  <si>
    <t>No stored personal-health relationship. Users browse or filter by condition without saving a personal profile.</t>
  </si>
  <si>
    <t>addresses (Guide → HealthCondition)</t>
  </si>
  <si>
    <t>Condition taxonomy/reference field on each Guide; condition pages automatically list related Guides.</t>
  </si>
  <si>
    <t>isRelatedTo (Guide → InformationTopic)</t>
  </si>
  <si>
    <t>Topic taxonomy/reference field linking each Guide to relevant information topics so users can find Guides based on their needs</t>
  </si>
  <si>
    <t>isReviewedBy (Guide → HealthcareProfessional)</t>
  </si>
  <si>
    <t>Reviewer post/reference field on each Guide, displayed with credentials and the last-reviewed date.</t>
  </si>
  <si>
    <t>isLocatedIn (OlderAdult OR SupportService OR CareCentre → Location)</t>
  </si>
  <si>
    <t>Location field/taxonomy assigned to Older Adults, Support Services and Care Centres, enabling support options to be matched or filtered by the same area.</t>
  </si>
  <si>
    <t>isIntendedFor (Guide → Person)</t>
  </si>
  <si>
    <t>Audience taxonomy assigned to Guides using specific audience terms such as Carer and OlderAdult, with corresponding audience filters</t>
  </si>
  <si>
    <t>isAvailableInFormat (Guide → DocumentFormat)</t>
  </si>
  <si>
    <t>Document-format taxonomy/custom field plus downloadable or printable file links on the Guide page.</t>
  </si>
  <si>
    <t>hasSymptom (HealthCondition → Symptom)</t>
  </si>
  <si>
    <t>Post-reference field linking each Health Condition to relevant Symptom records; shown as a related-symptoms list.</t>
  </si>
  <si>
    <t>describes (Guide → Symptom)</t>
  </si>
  <si>
    <t>Symptom reference/taxonomy field on each Guide; Symptom pages list Guides that describe them.</t>
  </si>
  <si>
    <t>isGovernedBy (Guide → PrivacyPolicy)</t>
  </si>
  <si>
    <t>Language taxonomy on each Guide, with a Chinese filter and links to translated versions.</t>
  </si>
  <si>
    <t>hasStaffMember (CareCentre → StaffMember)</t>
  </si>
  <si>
    <t>Staff repeater/reference field on each CareCentre page, showing staff names and roles relevant to service enquiries.</t>
  </si>
  <si>
    <t>Language field/taxonomy on each staff entry; supports filtering CareCentres for Chinese-speaking staff.</t>
  </si>
  <si>
    <t>Guide sub-type flagged by an editor when a guide sets two or more symptoms side by side; drives the "compare symptoms" listing.</t>
  </si>
  <si>
    <t>Class (defined)</t>
  </si>
  <si>
    <t>Not stored. Derived at query time from the audience taxonomy term "Carer" on each Guide.</t>
  </si>
  <si>
    <t>Not stored. Derived from the presence of a reviewer reference on the Guide; shown as a "clinically reviewed" badge.</t>
  </si>
  <si>
    <t>Not stored. Derived at query time from the audience taxonomy term "Older Adult" on each Guide.</t>
  </si>
  <si>
    <t>caresForSomeoneWith (Carer → HealthCondition)</t>
  </si>
  <si>
    <t>Not stored. Entailed from caresFor followed by hasCondition; used to pre-filter carer landing pages by the condition of the person cared for.</t>
  </si>
  <si>
    <t>supportsCondition (SupportService → HealthCondition)</t>
  </si>
  <si>
    <t>Supported-condition taxonomy/reference field on each Support Service record. Condition pages list the services that cover them, which is what makes the service count in CQ3 possible.</t>
  </si>
  <si>
    <t>isAddressedIn (HealthCondition → Guide)</t>
  </si>
  <si>
    <t>Not stored. Entailed as the inverse of addresses. A condition page lists its guides from the guide records themselves, so an editor tags once.</t>
  </si>
  <si>
    <t>isDescribedIn (Symptom → Guide)</t>
  </si>
  <si>
    <t>Not stored. Entailed as the inverse of describes. A symptom page lists the guides that describe it without a second stored link.</t>
  </si>
  <si>
    <t>isTargetAudienceOf (Person → Guide)</t>
  </si>
  <si>
    <t>Not stored. Entailed as the inverse of isIntendedFor. The "For Carers" and "For Older People" landing pages are built from the guide records.</t>
  </si>
  <si>
    <t>isSupportedBy (HealthCondition → SupportService)</t>
  </si>
  <si>
    <t>Not stored. Entailed as the inverse of supportsCondition. A condition page lists the services covering it, which is the direction CQ3 travels in.</t>
  </si>
  <si>
    <t>addresses (sub-property of isRelatedTo)</t>
  </si>
  <si>
    <t>Relationship (axiom)</t>
  </si>
  <si>
    <t>Not stored. A Guide tagged with a health condition is automatically included in the general topic index, so an editor tags the condition once rather than twice.</t>
  </si>
  <si>
    <t>describes (sub-property of isRelatedTo)</t>
  </si>
  <si>
    <t>Not stored. A Guide that describes a symptom is automatically filed under that symptom as a browsable topic.</t>
  </si>
  <si>
    <t>Support Service Custom Post Type with phone, location, supported condition, reliability status, reliability source and distance fields.</t>
  </si>
  <si>
    <t>Care Centre Custom Post Type with location, staff and distance fields; languages are recorded on each staff entry.</t>
  </si>
  <si>
    <t>Privacy Policy Custom Post Type, one record per policy, with a field for whether searching needs personal information and a source for that claim.</t>
  </si>
  <si>
    <t>Single-choice Privacy Policy reference field on each Guide; the form allows exactly one policy per Guide.</t>
  </si>
  <si>
    <t>CQ1, CQ2, CQ4, CQ5, CQ6, CQ7, CQ9</t>
  </si>
  <si>
    <t>isAvailableIn (Guide → Language)</t>
  </si>
  <si>
    <t>speaksLanguage (StaffMember → Language)</t>
  </si>
  <si>
    <t>Shared parent of Support Service and Care Centre; its fields (organisation name and distance) appear on those two post types.</t>
  </si>
  <si>
    <t>CQ1, CQ2, CQ3, CQ4, CQ5, CQ6, CQ7, CQ8, CQ9</t>
  </si>
  <si>
    <t>CQ1, CQ2, CQ3, CQ4, CQ9</t>
  </si>
  <si>
    <t>Carer —caresFor→ OlderAdult —hasCondition→ HealthCondition ←addresses— Guide —isRelatedTo→ DailyTaskStruggling; Guide —isIntendedFor→ Carer</t>
  </si>
  <si>
    <t xml:space="preserve">Carer —caresFor→ OlderAdult —hasCondition→ HealthCondition ←addresses— Guide —isReviewedBy→ HealthcareProfessional; Guide —isRelatedTo→ DementiaType; Guide —isIntendedFor→ Carer
</t>
  </si>
  <si>
    <t>Guide —isRelatedTo→ Symptom (×2, e.g. MemoryLoss and Confusion);  Guide —isIntendedFor→ Carer</t>
  </si>
  <si>
    <t>OlderAdult —hasCondition→ HealthCondition —hasSymptom→ Symptom ←describes— Guide —isRelatedTo→ DementiaType; Guide —isIntendedFor→ OlderAdult</t>
  </si>
  <si>
    <t>Partly</t>
  </si>
  <si>
    <t>added isReliable, reliabilityEvidence and distanceKm.</t>
  </si>
  <si>
    <t>added requiresPersonalInformationForSearch and searchRequirementEvidence.</t>
  </si>
  <si>
    <t xml:space="preserve"> added distanceKm and nearbyRadiusKm. Still incomplete for any older adult other than Chen: JoeOlderAdult (Victoria) has no radius, and every distance is measured from 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</si>
</sst>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5" x14ac:knownFonts="1">
    <font>
      <sz val="11"/>
      <color theme="1"/>
      <name val="Calibri"/>
      <family val="2"/>
      <charset val="1"/>
    </font>
    <font>
      <b/>
      <sz val="10"/>
      <color rgb="FFFFFFFF"/>
      <name val="Arial"/>
      <family val="2"/>
    </font>
    <font>
      <u/>
      <sz val="11"/>
      <color theme="10"/>
      <name val="Calibri"/>
      <family val="2"/>
      <charset val="1"/>
    </font>
    <font>
      <sz val="12"/>
      <color theme="1"/>
      <name val="Times New Roman"/>
      <family val="1"/>
    </font>
    <font>
      <b/>
      <sz val="12"/>
      <color rgb="FF000000"/>
      <name val="Times New Roman"/>
      <family val="1"/>
    </font>
    <font>
      <sz val="12"/>
      <color rgb="FF000000"/>
      <name val="Times New Roman"/>
      <family val="1"/>
    </font>
    <font>
      <b/>
      <sz val="12"/>
      <color rgb="FF10333A"/>
      <name val="Times New Roman"/>
      <family val="1"/>
    </font>
    <font>
      <i/>
      <sz val="12"/>
      <color rgb="FF5B6F75"/>
      <name val="Times New Roman"/>
      <family val="1"/>
    </font>
    <font>
      <b/>
      <sz val="12"/>
      <color rgb="FF028090"/>
      <name val="Times New Roman"/>
      <family val="1"/>
    </font>
    <font>
      <b/>
      <sz val="12"/>
      <color rgb="FFFFFFFF"/>
      <name val="Times New Roman"/>
      <family val="1"/>
    </font>
    <font>
      <u/>
      <sz val="12"/>
      <color theme="10"/>
      <name val="Times New Roman"/>
      <family val="1"/>
    </font>
    <font>
      <i/>
      <u/>
      <sz val="12"/>
      <color rgb="FF000000"/>
      <name val="Times New Roman"/>
      <family val="1"/>
    </font>
    <font>
      <i/>
      <u/>
      <sz val="12"/>
      <color theme="1"/>
      <name val="Times New Roman"/>
      <family val="1"/>
    </font>
    <font>
      <b/>
      <sz val="12"/>
      <color theme="1"/>
      <name val="Times New Roman"/>
      <family val="1"/>
    </font>
    <font>
      <i/>
      <sz val="9"/>
      <color rgb="FF7F6000"/>
      <name val="Times New Roman"/>
      <family val="1"/>
    </font>
  </fonts>
  <fills count="5">
    <fill>
      <patternFill patternType="none"/>
    </fill>
    <fill>
      <patternFill patternType="gray125"/>
    </fill>
    <fill>
      <patternFill patternType="solid">
        <fgColor rgb="FF10333A"/>
        <bgColor rgb="FF333333"/>
      </patternFill>
    </fill>
    <fill>
      <patternFill patternType="solid">
        <fgColor rgb="FFFFFF00"/>
        <bgColor indexed="64"/>
      </patternFill>
    </fill>
    <fill>
      <patternFill patternType="solid">
        <fgColor rgb="FFFFF2CC"/>
      </patternFill>
    </fill>
  </fills>
  <borders count="5">
    <border>
      <left/>
      <right/>
      <top/>
      <bottom/>
      <diagonal/>
    </border>
    <border>
      <left style="thin">
        <color rgb="FFC9D6D9"/>
      </left>
      <right style="thin">
        <color rgb="FFC9D6D9"/>
      </right>
      <top style="thin">
        <color rgb="FFC9D6D9"/>
      </top>
      <bottom style="thin">
        <color rgb="FFC9D6D9"/>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46">
    <xf numFmtId="0" fontId="0" fillId="0" borderId="0" xfId="0"/>
    <xf numFmtId="0" fontId="9" fillId="2" borderId="2" xfId="0" applyFont="1" applyFill="1" applyBorder="1" applyAlignment="1">
      <alignment vertical="center" wrapText="1"/>
    </xf>
    <xf numFmtId="0" fontId="10" fillId="0" borderId="2" xfId="1" applyFont="1" applyBorder="1" applyAlignment="1">
      <alignment vertical="top" wrapText="1"/>
    </xf>
    <xf numFmtId="0" fontId="9" fillId="0" borderId="0" xfId="0" applyFont="1" applyAlignment="1">
      <alignment vertical="center" wrapText="1"/>
    </xf>
    <xf numFmtId="0" fontId="10" fillId="0" borderId="4" xfId="1" applyFont="1" applyBorder="1" applyAlignment="1">
      <alignment vertical="top" wrapText="1"/>
    </xf>
    <xf numFmtId="0" fontId="5" fillId="0" borderId="0" xfId="0" applyFont="1" applyAlignment="1">
      <alignment vertical="top" wrapText="1"/>
    </xf>
    <xf numFmtId="0" fontId="0" fillId="0" borderId="0" xfId="0" applyAlignment="1">
      <alignment wrapText="1"/>
    </xf>
    <xf numFmtId="0" fontId="5" fillId="0" borderId="2" xfId="0" applyFont="1" applyBorder="1" applyAlignment="1">
      <alignment vertical="top" wrapText="1"/>
    </xf>
    <xf numFmtId="0" fontId="5" fillId="0" borderId="2" xfId="0" applyFont="1" applyBorder="1" applyAlignment="1">
      <alignment horizontal="center" vertical="center" wrapText="1"/>
    </xf>
    <xf numFmtId="0" fontId="6" fillId="0" borderId="0" xfId="0" applyFont="1"/>
    <xf numFmtId="0" fontId="3" fillId="0" borderId="0" xfId="0" applyFont="1" applyAlignment="1">
      <alignment wrapText="1"/>
    </xf>
    <xf numFmtId="0" fontId="3" fillId="0" borderId="0" xfId="0" applyFont="1"/>
    <xf numFmtId="0" fontId="4" fillId="0" borderId="4" xfId="0" applyFont="1" applyBorder="1" applyAlignment="1">
      <alignment vertical="top" wrapText="1"/>
    </xf>
    <xf numFmtId="0" fontId="5" fillId="0" borderId="4" xfId="0" applyFont="1" applyBorder="1" applyAlignment="1">
      <alignment vertical="top" wrapText="1"/>
    </xf>
    <xf numFmtId="0" fontId="4" fillId="0" borderId="2" xfId="0" applyFont="1" applyBorder="1" applyAlignment="1">
      <alignment vertical="top" wrapText="1"/>
    </xf>
    <xf numFmtId="0" fontId="11" fillId="0" borderId="2" xfId="0" applyFont="1" applyBorder="1" applyAlignment="1">
      <alignment vertical="top" wrapText="1"/>
    </xf>
    <xf numFmtId="0" fontId="12" fillId="0" borderId="0" xfId="0" applyFont="1"/>
    <xf numFmtId="0" fontId="5" fillId="0" borderId="0" xfId="0" applyFont="1" applyAlignment="1">
      <alignment vertical="top"/>
    </xf>
    <xf numFmtId="0" fontId="1" fillId="0" borderId="0" xfId="0" applyFont="1" applyAlignment="1">
      <alignment vertical="center" wrapText="1"/>
    </xf>
    <xf numFmtId="0" fontId="3" fillId="0" borderId="2" xfId="0" applyFont="1" applyBorder="1" applyAlignment="1">
      <alignment vertical="top" wrapText="1"/>
    </xf>
    <xf numFmtId="14" fontId="5" fillId="0" borderId="2" xfId="0" applyNumberFormat="1" applyFont="1" applyBorder="1" applyAlignment="1">
      <alignment vertical="top" wrapText="1"/>
    </xf>
    <xf numFmtId="0" fontId="6" fillId="0" borderId="0" xfId="0" applyFont="1" applyAlignment="1">
      <alignment vertical="top"/>
    </xf>
    <xf numFmtId="0" fontId="3" fillId="0" borderId="0" xfId="0" applyFont="1" applyAlignment="1">
      <alignment vertical="top" wrapText="1"/>
    </xf>
    <xf numFmtId="0" fontId="13" fillId="0" borderId="0" xfId="0" applyFont="1"/>
    <xf numFmtId="0" fontId="5" fillId="0" borderId="1" xfId="0" applyFont="1" applyBorder="1" applyAlignment="1">
      <alignment vertical="top" wrapText="1"/>
    </xf>
    <xf numFmtId="0" fontId="7" fillId="0" borderId="0" xfId="0" applyFont="1" applyAlignment="1">
      <alignment vertical="center"/>
    </xf>
    <xf numFmtId="0" fontId="5" fillId="3" borderId="1" xfId="0" applyFont="1" applyFill="1" applyBorder="1" applyAlignment="1">
      <alignment vertical="top" wrapText="1"/>
    </xf>
    <xf numFmtId="0" fontId="5" fillId="3" borderId="2" xfId="0" applyFont="1" applyFill="1" applyBorder="1" applyAlignment="1">
      <alignment vertical="top" wrapText="1"/>
    </xf>
    <xf numFmtId="0" fontId="10" fillId="3" borderId="2" xfId="1" applyFont="1" applyFill="1" applyBorder="1" applyAlignment="1">
      <alignment vertical="top" wrapText="1"/>
    </xf>
    <xf numFmtId="0" fontId="4" fillId="3" borderId="2" xfId="0" applyFont="1" applyFill="1" applyBorder="1" applyAlignment="1">
      <alignment vertical="top" wrapText="1"/>
    </xf>
    <xf numFmtId="14" fontId="5" fillId="3" borderId="2" xfId="0" applyNumberFormat="1" applyFont="1" applyFill="1" applyBorder="1" applyAlignment="1">
      <alignment vertical="top" wrapText="1"/>
    </xf>
    <xf numFmtId="0" fontId="5" fillId="4" borderId="2" xfId="0" applyFont="1" applyFill="1" applyBorder="1" applyAlignment="1">
      <alignment vertical="top" wrapText="1"/>
    </xf>
    <xf numFmtId="164" fontId="5" fillId="3" borderId="2" xfId="0" applyNumberFormat="1" applyFont="1" applyFill="1" applyBorder="1" applyAlignment="1">
      <alignment vertical="top" wrapText="1"/>
    </xf>
    <xf numFmtId="0" fontId="8" fillId="0" borderId="0" xfId="0" applyFont="1" applyAlignment="1">
      <alignment vertical="center" wrapText="1"/>
    </xf>
    <xf numFmtId="0" fontId="3" fillId="0" borderId="0" xfId="0" applyFont="1" applyAlignment="1">
      <alignment wrapText="1"/>
    </xf>
    <xf numFmtId="0" fontId="3" fillId="0" borderId="0" xfId="0" applyFont="1"/>
    <xf numFmtId="0" fontId="7" fillId="0" borderId="0" xfId="0" applyFont="1" applyAlignment="1">
      <alignment vertical="center" wrapText="1"/>
    </xf>
    <xf numFmtId="0" fontId="6" fillId="0" borderId="0" xfId="0" applyFont="1" applyAlignment="1">
      <alignment horizontal="left" vertical="center" wrapText="1"/>
    </xf>
    <xf numFmtId="0" fontId="0" fillId="0" borderId="0" xfId="0"/>
    <xf numFmtId="0" fontId="7" fillId="0" borderId="0" xfId="0" applyFont="1" applyAlignment="1">
      <alignment horizontal="left" vertical="center" wrapText="1"/>
    </xf>
    <xf numFmtId="0" fontId="8" fillId="0" borderId="0" xfId="0" applyFont="1" applyAlignment="1">
      <alignment horizontal="left" vertical="center" wrapText="1"/>
    </xf>
    <xf numFmtId="0" fontId="14" fillId="0" borderId="0" xfId="0" applyFont="1" applyAlignment="1">
      <alignment vertical="top" wrapText="1"/>
    </xf>
    <xf numFmtId="0" fontId="8" fillId="0" borderId="3" xfId="0" applyFont="1" applyBorder="1" applyAlignment="1">
      <alignment vertical="center" wrapText="1"/>
    </xf>
    <xf numFmtId="0" fontId="0" fillId="0" borderId="3" xfId="0" applyBorder="1"/>
    <xf numFmtId="0" fontId="8" fillId="0" borderId="0" xfId="0" applyFont="1" applyAlignment="1">
      <alignment vertical="top" wrapText="1"/>
    </xf>
    <xf numFmtId="0" fontId="7"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F7A3D"/>
      <rgbColor rgb="FF000080"/>
      <rgbColor rgb="FF808000"/>
      <rgbColor rgb="FF800080"/>
      <rgbColor rgb="FF028090"/>
      <rgbColor rgb="FFC0C0C0"/>
      <rgbColor rgb="FF808080"/>
      <rgbColor rgb="FF9999FF"/>
      <rgbColor rgb="FFC1444F"/>
      <rgbColor rgb="FFFFF6D9"/>
      <rgbColor rgb="FFEDF3F4"/>
      <rgbColor rgb="FF660066"/>
      <rgbColor rgb="FFFF8080"/>
      <rgbColor rgb="FF0066CC"/>
      <rgbColor rgb="FFC9D6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F75"/>
      <rgbColor rgb="FF969696"/>
      <rgbColor rgb="FF10333A"/>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schema.org/EmployeeRole" TargetMode="External"/><Relationship Id="rId2" Type="http://schemas.openxmlformats.org/officeDocument/2006/relationships/hyperlink" Target="https://schema.org/Physician" TargetMode="External"/><Relationship Id="rId1" Type="http://schemas.openxmlformats.org/officeDocument/2006/relationships/hyperlink" Target="https://schema.org/Person" TargetMode="External"/><Relationship Id="rId5" Type="http://schemas.openxmlformats.org/officeDocument/2006/relationships/hyperlink" Target="https://schema.org/Organization" TargetMode="External"/><Relationship Id="rId4" Type="http://schemas.openxmlformats.org/officeDocument/2006/relationships/hyperlink" Target="https://schema.org/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opLeftCell="A5" zoomScale="70" zoomScaleNormal="70" workbookViewId="0">
      <selection activeCell="B7" sqref="B7"/>
    </sheetView>
  </sheetViews>
  <sheetFormatPr defaultColWidth="10.81640625" defaultRowHeight="14.5" x14ac:dyDescent="0.35"/>
  <cols>
    <col min="1" max="1" width="7" bestFit="1" customWidth="1"/>
    <col min="2" max="2" width="45.1796875" customWidth="1"/>
    <col min="3" max="3" width="20.6328125" bestFit="1" customWidth="1"/>
    <col min="4" max="4" width="23.453125" bestFit="1" customWidth="1"/>
    <col min="5" max="5" width="39.90625" customWidth="1"/>
    <col min="6" max="6" width="47.453125" bestFit="1" customWidth="1"/>
    <col min="7" max="7" width="5.81640625" bestFit="1" customWidth="1"/>
    <col min="8" max="8" width="16.7265625" customWidth="1"/>
    <col min="9" max="9" width="19.81640625" customWidth="1"/>
    <col min="10" max="10" width="47.453125" customWidth="1"/>
  </cols>
  <sheetData>
    <row r="1" spans="1:10" ht="16" customHeight="1" x14ac:dyDescent="0.35">
      <c r="A1" s="37" t="s">
        <v>93</v>
      </c>
      <c r="B1" s="38"/>
      <c r="C1" s="38"/>
      <c r="D1" s="38"/>
      <c r="E1" s="38"/>
      <c r="F1" s="38"/>
      <c r="G1" s="38"/>
      <c r="H1" s="38"/>
      <c r="I1" s="38"/>
    </row>
    <row r="2" spans="1:10" ht="16" customHeight="1" x14ac:dyDescent="0.35">
      <c r="A2" s="39" t="s">
        <v>94</v>
      </c>
      <c r="B2" s="38"/>
      <c r="C2" s="38"/>
      <c r="D2" s="38"/>
      <c r="E2" s="38"/>
      <c r="F2" s="38"/>
      <c r="G2" s="38"/>
      <c r="H2" s="38"/>
      <c r="I2" s="38"/>
    </row>
    <row r="3" spans="1:10" ht="16" customHeight="1" x14ac:dyDescent="0.35">
      <c r="A3" s="40" t="s">
        <v>95</v>
      </c>
      <c r="B3" s="38"/>
      <c r="C3" s="38"/>
      <c r="D3" s="38"/>
      <c r="E3" s="38"/>
      <c r="F3" s="38"/>
      <c r="G3" s="38"/>
      <c r="H3" s="38"/>
      <c r="I3" s="38"/>
    </row>
    <row r="4" spans="1:10" s="3" customFormat="1" ht="34" customHeight="1" x14ac:dyDescent="0.35">
      <c r="A4" s="1" t="s">
        <v>96</v>
      </c>
      <c r="B4" s="1" t="s">
        <v>97</v>
      </c>
      <c r="C4" s="1" t="s">
        <v>98</v>
      </c>
      <c r="D4" s="1" t="s">
        <v>99</v>
      </c>
      <c r="E4" s="1" t="s">
        <v>100</v>
      </c>
      <c r="F4" s="1" t="s">
        <v>101</v>
      </c>
      <c r="G4" s="1" t="s">
        <v>102</v>
      </c>
      <c r="H4" s="1" t="s">
        <v>103</v>
      </c>
      <c r="I4" s="1" t="s">
        <v>104</v>
      </c>
    </row>
    <row r="5" spans="1:10" ht="68" customHeight="1" x14ac:dyDescent="0.35">
      <c r="A5" s="7" t="s">
        <v>36</v>
      </c>
      <c r="B5" s="7" t="s">
        <v>105</v>
      </c>
      <c r="C5" s="7" t="s">
        <v>106</v>
      </c>
      <c r="D5" s="7" t="s">
        <v>107</v>
      </c>
      <c r="E5" s="7" t="s">
        <v>108</v>
      </c>
      <c r="F5" s="7" t="s">
        <v>438</v>
      </c>
      <c r="G5" s="8">
        <v>4</v>
      </c>
      <c r="H5" s="7" t="s">
        <v>109</v>
      </c>
      <c r="I5" s="7"/>
    </row>
    <row r="6" spans="1:10" ht="85" customHeight="1" x14ac:dyDescent="0.35">
      <c r="A6" s="7" t="s">
        <v>16</v>
      </c>
      <c r="B6" s="7" t="s">
        <v>110</v>
      </c>
      <c r="C6" s="7" t="s">
        <v>106</v>
      </c>
      <c r="D6" s="7" t="s">
        <v>111</v>
      </c>
      <c r="E6" s="7" t="s">
        <v>108</v>
      </c>
      <c r="F6" s="7" t="s">
        <v>439</v>
      </c>
      <c r="G6" s="8">
        <v>5</v>
      </c>
      <c r="H6" s="7" t="s">
        <v>109</v>
      </c>
      <c r="I6" s="7"/>
    </row>
    <row r="7" spans="1:10" ht="102" customHeight="1" x14ac:dyDescent="0.35">
      <c r="A7" s="7" t="s">
        <v>61</v>
      </c>
      <c r="B7" s="7" t="s">
        <v>112</v>
      </c>
      <c r="C7" s="7" t="s">
        <v>106</v>
      </c>
      <c r="D7" s="7" t="s">
        <v>113</v>
      </c>
      <c r="E7" s="7" t="s">
        <v>114</v>
      </c>
      <c r="F7" s="7" t="s">
        <v>115</v>
      </c>
      <c r="G7" s="8">
        <v>4</v>
      </c>
      <c r="H7" s="7" t="s">
        <v>109</v>
      </c>
      <c r="I7" s="7" t="s">
        <v>443</v>
      </c>
      <c r="J7" s="6"/>
    </row>
    <row r="8" spans="1:10" ht="51" customHeight="1" x14ac:dyDescent="0.35">
      <c r="A8" s="7" t="s">
        <v>49</v>
      </c>
      <c r="B8" s="7" t="s">
        <v>116</v>
      </c>
      <c r="C8" s="7" t="s">
        <v>106</v>
      </c>
      <c r="D8" s="7" t="s">
        <v>117</v>
      </c>
      <c r="E8" s="7" t="s">
        <v>108</v>
      </c>
      <c r="F8" s="7" t="s">
        <v>118</v>
      </c>
      <c r="G8" s="8">
        <v>2</v>
      </c>
      <c r="H8" s="7" t="s">
        <v>109</v>
      </c>
      <c r="I8" s="7"/>
    </row>
    <row r="9" spans="1:10" ht="119" customHeight="1" x14ac:dyDescent="0.35">
      <c r="A9" s="7" t="s">
        <v>82</v>
      </c>
      <c r="B9" s="7" t="s">
        <v>119</v>
      </c>
      <c r="C9" s="7" t="s">
        <v>120</v>
      </c>
      <c r="D9" s="7" t="s">
        <v>121</v>
      </c>
      <c r="E9" s="7" t="s">
        <v>122</v>
      </c>
      <c r="F9" s="7" t="s">
        <v>123</v>
      </c>
      <c r="G9" s="8">
        <v>3</v>
      </c>
      <c r="H9" s="7" t="s">
        <v>109</v>
      </c>
      <c r="I9" s="7" t="s">
        <v>444</v>
      </c>
    </row>
    <row r="10" spans="1:10" ht="51" customHeight="1" x14ac:dyDescent="0.35">
      <c r="A10" s="7" t="s">
        <v>43</v>
      </c>
      <c r="B10" s="7" t="s">
        <v>124</v>
      </c>
      <c r="C10" s="7" t="s">
        <v>120</v>
      </c>
      <c r="D10" s="7" t="s">
        <v>125</v>
      </c>
      <c r="E10" s="7" t="s">
        <v>108</v>
      </c>
      <c r="F10" s="7" t="s">
        <v>441</v>
      </c>
      <c r="G10" s="8">
        <v>4</v>
      </c>
      <c r="H10" s="7" t="s">
        <v>109</v>
      </c>
      <c r="I10" s="7"/>
    </row>
    <row r="11" spans="1:10" ht="51" customHeight="1" x14ac:dyDescent="0.35">
      <c r="A11" s="7" t="s">
        <v>126</v>
      </c>
      <c r="B11" s="7" t="s">
        <v>127</v>
      </c>
      <c r="C11" s="7" t="s">
        <v>120</v>
      </c>
      <c r="D11" s="7" t="s">
        <v>128</v>
      </c>
      <c r="E11" s="7" t="s">
        <v>108</v>
      </c>
      <c r="F11" s="7" t="s">
        <v>129</v>
      </c>
      <c r="G11" s="8">
        <v>3</v>
      </c>
      <c r="H11" s="7" t="s">
        <v>109</v>
      </c>
      <c r="I11" s="7"/>
    </row>
    <row r="12" spans="1:10" ht="102" customHeight="1" x14ac:dyDescent="0.35">
      <c r="A12" s="7" t="s">
        <v>20</v>
      </c>
      <c r="B12" s="7" t="s">
        <v>130</v>
      </c>
      <c r="C12" s="7" t="s">
        <v>120</v>
      </c>
      <c r="D12" s="7" t="s">
        <v>113</v>
      </c>
      <c r="E12" s="7" t="s">
        <v>122</v>
      </c>
      <c r="F12" s="7" t="s">
        <v>131</v>
      </c>
      <c r="G12" s="8">
        <v>4</v>
      </c>
      <c r="H12" s="7" t="s">
        <v>442</v>
      </c>
      <c r="I12" s="7" t="s">
        <v>445</v>
      </c>
    </row>
    <row r="13" spans="1:10" ht="46.5" customHeight="1" x14ac:dyDescent="0.35">
      <c r="A13" s="7" t="s">
        <v>132</v>
      </c>
      <c r="B13" s="7" t="s">
        <v>133</v>
      </c>
      <c r="C13" s="7" t="s">
        <v>106</v>
      </c>
      <c r="D13" s="7" t="s">
        <v>134</v>
      </c>
      <c r="E13" s="7" t="s">
        <v>135</v>
      </c>
      <c r="F13" s="7" t="s">
        <v>440</v>
      </c>
      <c r="G13" s="8">
        <v>2</v>
      </c>
      <c r="H13" s="7" t="s">
        <v>109</v>
      </c>
      <c r="I13" s="7"/>
    </row>
  </sheetData>
  <mergeCells count="3">
    <mergeCell ref="A1:I1"/>
    <mergeCell ref="A2:I2"/>
    <mergeCell ref="A3:I3"/>
  </mergeCells>
  <dataValidations count="2">
    <dataValidation type="list" allowBlank="1" errorTitle="Question type" error="Choose one of: multi-hop (2+), counting or grouping, incomplete answer, single lookup" sqref="E5:E12" xr:uid="{00000000-0002-0000-0000-000000000000}">
      <formula1>"multi-hop (2+),counting or grouping,incomplete answer,single lookup"</formula1>
      <formula2>0</formula2>
    </dataValidation>
    <dataValidation type="list" allowBlank="1" errorTitle="Answerable" error="Choose one of: Yes, Partly, No" sqref="H5:H12" xr:uid="{00000000-0002-0000-0000-000001000000}">
      <formula1>"Yes,Partly,No"</formula1>
      <formula2>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showGridLines="0" tabSelected="1" zoomScale="85" zoomScaleNormal="85" workbookViewId="0">
      <pane ySplit="4" topLeftCell="A5" activePane="bottomLeft" state="frozen"/>
      <selection pane="bottomLeft" activeCell="C17" sqref="C17"/>
    </sheetView>
  </sheetViews>
  <sheetFormatPr defaultColWidth="8.6328125" defaultRowHeight="15.5" x14ac:dyDescent="0.35"/>
  <cols>
    <col min="1" max="1" width="19.81640625" style="11" bestFit="1" customWidth="1"/>
    <col min="2" max="2" width="72.453125" style="10" bestFit="1" customWidth="1"/>
    <col min="3" max="3" width="37.1796875" style="11" customWidth="1"/>
    <col min="4" max="4" width="41.453125" style="11" bestFit="1" customWidth="1"/>
    <col min="5" max="5" width="48" style="11" bestFit="1" customWidth="1"/>
    <col min="6" max="6" width="62.81640625" style="11" customWidth="1"/>
    <col min="7" max="9" width="8.6328125" style="11" customWidth="1"/>
    <col min="10" max="16384" width="8.6328125" style="11"/>
  </cols>
  <sheetData>
    <row r="1" spans="1:6" x14ac:dyDescent="0.35">
      <c r="A1" s="9" t="s">
        <v>136</v>
      </c>
    </row>
    <row r="2" spans="1:6" ht="16" customHeight="1" x14ac:dyDescent="0.35">
      <c r="A2" s="36" t="s">
        <v>137</v>
      </c>
      <c r="B2" s="34"/>
      <c r="C2" s="35"/>
      <c r="D2" s="35"/>
      <c r="E2" s="35"/>
      <c r="F2" s="35"/>
    </row>
    <row r="3" spans="1:6" ht="16" customHeight="1" x14ac:dyDescent="0.35">
      <c r="A3" s="33" t="s">
        <v>138</v>
      </c>
      <c r="B3" s="34"/>
      <c r="C3" s="35"/>
      <c r="D3" s="35"/>
      <c r="E3" s="35"/>
      <c r="F3" s="35"/>
    </row>
    <row r="4" spans="1:6" s="3" customFormat="1" ht="17" customHeight="1" x14ac:dyDescent="0.35">
      <c r="A4" s="1" t="s">
        <v>139</v>
      </c>
      <c r="B4" s="1" t="s">
        <v>140</v>
      </c>
      <c r="C4" s="1" t="s">
        <v>141</v>
      </c>
      <c r="D4" s="1" t="s">
        <v>7</v>
      </c>
      <c r="E4" s="1" t="s">
        <v>142</v>
      </c>
      <c r="F4" s="1" t="s">
        <v>143</v>
      </c>
    </row>
    <row r="5" spans="1:6" ht="17" customHeight="1" x14ac:dyDescent="0.35">
      <c r="A5" s="12" t="s">
        <v>8</v>
      </c>
      <c r="B5" s="13" t="s">
        <v>144</v>
      </c>
      <c r="C5" s="13"/>
      <c r="D5" s="13" t="s">
        <v>436</v>
      </c>
      <c r="E5" s="4" t="s">
        <v>145</v>
      </c>
      <c r="F5" s="13" t="s">
        <v>146</v>
      </c>
    </row>
    <row r="6" spans="1:6" ht="17" customHeight="1" x14ac:dyDescent="0.35">
      <c r="A6" s="7" t="s">
        <v>147</v>
      </c>
      <c r="B6" s="7" t="s">
        <v>148</v>
      </c>
      <c r="C6" s="7" t="s">
        <v>8</v>
      </c>
      <c r="D6" s="7" t="s">
        <v>437</v>
      </c>
      <c r="E6" s="7"/>
      <c r="F6" s="7"/>
    </row>
    <row r="7" spans="1:6" ht="17" customHeight="1" x14ac:dyDescent="0.35">
      <c r="A7" s="7" t="s">
        <v>91</v>
      </c>
      <c r="B7" s="7" t="s">
        <v>149</v>
      </c>
      <c r="C7" s="7" t="s">
        <v>8</v>
      </c>
      <c r="D7" s="7" t="s">
        <v>150</v>
      </c>
      <c r="E7" s="7"/>
      <c r="F7" s="7"/>
    </row>
    <row r="8" spans="1:6" ht="34" customHeight="1" x14ac:dyDescent="0.35">
      <c r="A8" s="7" t="s">
        <v>13</v>
      </c>
      <c r="B8" s="7" t="s">
        <v>151</v>
      </c>
      <c r="C8" s="7" t="s">
        <v>8</v>
      </c>
      <c r="D8" s="7" t="s">
        <v>16</v>
      </c>
      <c r="E8" s="2" t="s">
        <v>152</v>
      </c>
      <c r="F8" s="7" t="s">
        <v>153</v>
      </c>
    </row>
    <row r="9" spans="1:6" ht="34" customHeight="1" x14ac:dyDescent="0.35">
      <c r="A9" s="7" t="s">
        <v>17</v>
      </c>
      <c r="B9" s="7" t="s">
        <v>154</v>
      </c>
      <c r="C9" s="7" t="s">
        <v>8</v>
      </c>
      <c r="D9" s="7" t="s">
        <v>20</v>
      </c>
      <c r="E9" s="2" t="s">
        <v>155</v>
      </c>
      <c r="F9" s="7" t="s">
        <v>156</v>
      </c>
    </row>
    <row r="10" spans="1:6" ht="17" customHeight="1" x14ac:dyDescent="0.35">
      <c r="A10" s="29" t="s">
        <v>157</v>
      </c>
      <c r="B10" s="27" t="s">
        <v>158</v>
      </c>
      <c r="C10" s="27"/>
      <c r="D10" s="27" t="s">
        <v>159</v>
      </c>
      <c r="E10" s="28"/>
      <c r="F10" s="27"/>
    </row>
    <row r="11" spans="1:6" ht="17" customHeight="1" x14ac:dyDescent="0.35">
      <c r="A11" s="29" t="s">
        <v>21</v>
      </c>
      <c r="B11" s="27" t="s">
        <v>160</v>
      </c>
      <c r="C11" s="27" t="s">
        <v>157</v>
      </c>
      <c r="D11" s="7" t="s">
        <v>24</v>
      </c>
      <c r="E11" s="7" t="s">
        <v>161</v>
      </c>
      <c r="F11" s="7" t="s">
        <v>162</v>
      </c>
    </row>
    <row r="12" spans="1:6" ht="17" customHeight="1" x14ac:dyDescent="0.35">
      <c r="A12" s="7" t="s">
        <v>25</v>
      </c>
      <c r="B12" s="7" t="s">
        <v>163</v>
      </c>
      <c r="C12" s="7" t="s">
        <v>21</v>
      </c>
      <c r="D12" s="7" t="s">
        <v>164</v>
      </c>
      <c r="E12" s="7"/>
      <c r="F12" s="7"/>
    </row>
    <row r="13" spans="1:6" ht="17" customHeight="1" x14ac:dyDescent="0.35">
      <c r="A13" s="7" t="s">
        <v>165</v>
      </c>
      <c r="B13" s="7" t="s">
        <v>166</v>
      </c>
      <c r="C13" s="7" t="s">
        <v>25</v>
      </c>
      <c r="D13" s="7" t="s">
        <v>126</v>
      </c>
      <c r="E13" s="7"/>
      <c r="F13" s="7"/>
    </row>
    <row r="14" spans="1:6" s="16" customFormat="1" ht="17" customHeight="1" x14ac:dyDescent="0.35">
      <c r="A14" s="29" t="s">
        <v>29</v>
      </c>
      <c r="B14" s="27" t="s">
        <v>167</v>
      </c>
      <c r="C14" s="27" t="s">
        <v>157</v>
      </c>
      <c r="D14" s="7" t="s">
        <v>32</v>
      </c>
      <c r="E14" s="7"/>
      <c r="F14" s="15"/>
    </row>
    <row r="15" spans="1:6" ht="17" customHeight="1" x14ac:dyDescent="0.35">
      <c r="A15" s="7" t="s">
        <v>33</v>
      </c>
      <c r="B15" s="7" t="s">
        <v>168</v>
      </c>
      <c r="C15" s="7" t="s">
        <v>29</v>
      </c>
      <c r="D15" s="7" t="s">
        <v>36</v>
      </c>
      <c r="E15" s="7"/>
      <c r="F15" s="7"/>
    </row>
    <row r="16" spans="1:6" ht="34" customHeight="1" x14ac:dyDescent="0.35">
      <c r="A16" s="14" t="s">
        <v>37</v>
      </c>
      <c r="B16" s="7" t="s">
        <v>169</v>
      </c>
      <c r="C16" s="7"/>
      <c r="D16" s="7" t="s">
        <v>432</v>
      </c>
      <c r="E16" s="2" t="s">
        <v>170</v>
      </c>
      <c r="F16" s="7" t="s">
        <v>171</v>
      </c>
    </row>
    <row r="17" spans="1:6" ht="17" customHeight="1" x14ac:dyDescent="0.35">
      <c r="A17" s="14" t="s">
        <v>54</v>
      </c>
      <c r="B17" s="7" t="s">
        <v>172</v>
      </c>
      <c r="C17" s="7"/>
      <c r="D17" s="7" t="s">
        <v>57</v>
      </c>
      <c r="E17" s="2" t="s">
        <v>173</v>
      </c>
      <c r="F17" s="7" t="s">
        <v>174</v>
      </c>
    </row>
    <row r="18" spans="1:6" ht="17" customHeight="1" x14ac:dyDescent="0.35">
      <c r="A18" s="7" t="s">
        <v>58</v>
      </c>
      <c r="B18" s="7" t="s">
        <v>175</v>
      </c>
      <c r="C18" s="14" t="s">
        <v>54</v>
      </c>
      <c r="D18" s="7" t="s">
        <v>61</v>
      </c>
      <c r="E18" s="7"/>
      <c r="F18" s="7"/>
    </row>
    <row r="19" spans="1:6" ht="17" customHeight="1" x14ac:dyDescent="0.35">
      <c r="A19" s="7" t="s">
        <v>64</v>
      </c>
      <c r="B19" s="7" t="s">
        <v>176</v>
      </c>
      <c r="C19" s="14" t="s">
        <v>54</v>
      </c>
      <c r="D19" s="7" t="s">
        <v>20</v>
      </c>
      <c r="E19" s="7"/>
      <c r="F19" s="7"/>
    </row>
    <row r="20" spans="1:6" ht="17" customHeight="1" x14ac:dyDescent="0.35">
      <c r="A20" s="14" t="s">
        <v>67</v>
      </c>
      <c r="B20" s="7" t="s">
        <v>177</v>
      </c>
      <c r="C20" s="7"/>
      <c r="D20" s="7" t="s">
        <v>57</v>
      </c>
      <c r="E20" s="7" t="s">
        <v>178</v>
      </c>
      <c r="F20" s="7" t="s">
        <v>179</v>
      </c>
    </row>
    <row r="21" spans="1:6" ht="17" customHeight="1" x14ac:dyDescent="0.35">
      <c r="A21" s="14" t="s">
        <v>71</v>
      </c>
      <c r="B21" s="7" t="s">
        <v>180</v>
      </c>
      <c r="C21" s="7"/>
      <c r="D21" s="7" t="s">
        <v>74</v>
      </c>
      <c r="E21" s="7"/>
      <c r="F21" s="7"/>
    </row>
    <row r="22" spans="1:6" ht="17" customHeight="1" x14ac:dyDescent="0.35">
      <c r="A22" s="7" t="s">
        <v>75</v>
      </c>
      <c r="B22" s="7" t="s">
        <v>181</v>
      </c>
      <c r="C22" s="7"/>
      <c r="D22" s="7" t="s">
        <v>49</v>
      </c>
      <c r="E22" s="7"/>
      <c r="F22" s="7"/>
    </row>
    <row r="23" spans="1:6" ht="17" customHeight="1" x14ac:dyDescent="0.35">
      <c r="A23" s="7" t="s">
        <v>80</v>
      </c>
      <c r="B23" s="7" t="s">
        <v>182</v>
      </c>
      <c r="C23" s="7"/>
      <c r="D23" s="7" t="s">
        <v>82</v>
      </c>
      <c r="E23" s="7"/>
      <c r="F23" s="7"/>
    </row>
    <row r="24" spans="1:6" ht="31" customHeight="1" x14ac:dyDescent="0.35">
      <c r="A24" s="7" t="s">
        <v>183</v>
      </c>
      <c r="B24" s="7" t="s">
        <v>184</v>
      </c>
      <c r="C24" s="7" t="s">
        <v>37</v>
      </c>
      <c r="D24" s="7" t="s">
        <v>132</v>
      </c>
      <c r="E24" s="7"/>
      <c r="F24" s="7"/>
    </row>
    <row r="25" spans="1:6" ht="31" customHeight="1" x14ac:dyDescent="0.35">
      <c r="A25" s="7" t="s">
        <v>185</v>
      </c>
      <c r="B25" s="7" t="s">
        <v>186</v>
      </c>
      <c r="C25" s="7" t="s">
        <v>37</v>
      </c>
      <c r="D25" s="7" t="s">
        <v>187</v>
      </c>
      <c r="E25" s="7"/>
      <c r="F25" s="7"/>
    </row>
    <row r="26" spans="1:6" ht="31" customHeight="1" x14ac:dyDescent="0.35">
      <c r="A26" s="7" t="s">
        <v>188</v>
      </c>
      <c r="B26" s="7" t="s">
        <v>189</v>
      </c>
      <c r="C26" s="7" t="s">
        <v>37</v>
      </c>
      <c r="D26" s="7" t="s">
        <v>16</v>
      </c>
      <c r="E26" s="7"/>
      <c r="F26" s="7"/>
    </row>
    <row r="27" spans="1:6" ht="31" customHeight="1" x14ac:dyDescent="0.35">
      <c r="A27" s="7" t="s">
        <v>190</v>
      </c>
      <c r="B27" s="7" t="s">
        <v>191</v>
      </c>
      <c r="C27" s="7" t="s">
        <v>37</v>
      </c>
      <c r="D27" s="7" t="s">
        <v>192</v>
      </c>
      <c r="E27" s="7"/>
      <c r="F27" s="7"/>
    </row>
    <row r="28" spans="1:6" x14ac:dyDescent="0.35">
      <c r="A28" s="5"/>
      <c r="B28" s="5"/>
      <c r="C28" s="5"/>
      <c r="D28" s="17"/>
      <c r="E28" s="5"/>
      <c r="F28" s="5"/>
    </row>
    <row r="29" spans="1:6" x14ac:dyDescent="0.35">
      <c r="A29" s="5"/>
      <c r="B29" s="5"/>
      <c r="C29" s="5"/>
      <c r="D29" s="17"/>
      <c r="E29" s="5"/>
      <c r="F29" s="5"/>
    </row>
    <row r="30" spans="1:6" x14ac:dyDescent="0.35">
      <c r="A30" s="5"/>
      <c r="B30" s="5"/>
      <c r="C30" s="5"/>
      <c r="D30" s="17"/>
      <c r="E30" s="5"/>
      <c r="F30" s="5"/>
    </row>
    <row r="31" spans="1:6" x14ac:dyDescent="0.35">
      <c r="A31" s="5"/>
      <c r="B31" s="5"/>
      <c r="C31" s="5"/>
      <c r="D31" s="17"/>
      <c r="E31" s="5"/>
      <c r="F31" s="5"/>
    </row>
    <row r="32" spans="1:6" x14ac:dyDescent="0.35">
      <c r="A32" s="5"/>
      <c r="B32" s="5"/>
      <c r="C32" s="5"/>
      <c r="D32" s="17"/>
      <c r="E32" s="5"/>
      <c r="F32" s="5"/>
    </row>
    <row r="33" spans="1:6" x14ac:dyDescent="0.35">
      <c r="A33" s="5"/>
      <c r="B33" s="5"/>
      <c r="C33" s="5"/>
      <c r="D33" s="17"/>
      <c r="E33" s="5"/>
      <c r="F33" s="5"/>
    </row>
    <row r="34" spans="1:6" x14ac:dyDescent="0.35">
      <c r="A34" s="5"/>
      <c r="B34" s="5"/>
      <c r="C34" s="5"/>
      <c r="D34" s="17"/>
      <c r="E34" s="5"/>
      <c r="F34" s="5"/>
    </row>
    <row r="35" spans="1:6" x14ac:dyDescent="0.35">
      <c r="A35" s="5"/>
      <c r="B35" s="5"/>
      <c r="C35" s="5"/>
      <c r="D35" s="17"/>
      <c r="E35" s="5"/>
      <c r="F35" s="5"/>
    </row>
    <row r="36" spans="1:6" x14ac:dyDescent="0.35">
      <c r="A36" s="5"/>
      <c r="B36" s="5"/>
      <c r="C36" s="5"/>
      <c r="D36" s="17"/>
      <c r="E36" s="5"/>
      <c r="F36" s="5"/>
    </row>
    <row r="37" spans="1:6" x14ac:dyDescent="0.35">
      <c r="A37" s="5"/>
      <c r="B37" s="5"/>
      <c r="C37" s="5"/>
      <c r="D37" s="17"/>
      <c r="E37" s="5"/>
      <c r="F37" s="5"/>
    </row>
    <row r="38" spans="1:6" x14ac:dyDescent="0.35">
      <c r="A38" s="5"/>
      <c r="B38" s="5"/>
      <c r="C38" s="5"/>
      <c r="D38" s="17"/>
      <c r="E38" s="5"/>
      <c r="F38" s="5"/>
    </row>
    <row r="39" spans="1:6" x14ac:dyDescent="0.35">
      <c r="A39" s="5"/>
      <c r="B39" s="5"/>
      <c r="C39" s="5"/>
      <c r="D39" s="17"/>
      <c r="E39" s="5"/>
      <c r="F39" s="5"/>
    </row>
    <row r="40" spans="1:6" x14ac:dyDescent="0.35">
      <c r="A40" s="5"/>
      <c r="B40" s="5"/>
      <c r="C40" s="5"/>
      <c r="D40" s="17"/>
      <c r="E40" s="5"/>
      <c r="F40" s="5"/>
    </row>
    <row r="41" spans="1:6" x14ac:dyDescent="0.35">
      <c r="A41" s="5"/>
      <c r="B41" s="5"/>
      <c r="C41" s="5"/>
      <c r="D41" s="17"/>
      <c r="E41" s="5"/>
      <c r="F41" s="5"/>
    </row>
    <row r="42" spans="1:6" x14ac:dyDescent="0.35">
      <c r="A42" s="5"/>
      <c r="B42" s="5"/>
      <c r="C42" s="5"/>
      <c r="D42" s="17"/>
      <c r="E42" s="5"/>
      <c r="F42" s="5"/>
    </row>
    <row r="43" spans="1:6" x14ac:dyDescent="0.35">
      <c r="A43" s="5"/>
      <c r="B43" s="5"/>
      <c r="C43" s="5"/>
      <c r="D43" s="17"/>
      <c r="E43" s="5"/>
      <c r="F43" s="5"/>
    </row>
    <row r="44" spans="1:6" x14ac:dyDescent="0.35">
      <c r="A44" s="5"/>
      <c r="B44" s="5"/>
      <c r="C44" s="5"/>
      <c r="D44" s="17"/>
      <c r="E44" s="5"/>
      <c r="F44" s="5"/>
    </row>
    <row r="45" spans="1:6" x14ac:dyDescent="0.35">
      <c r="A45" s="5"/>
      <c r="B45" s="5"/>
      <c r="C45" s="5"/>
      <c r="D45" s="17"/>
      <c r="E45" s="5"/>
      <c r="F45" s="5"/>
    </row>
    <row r="46" spans="1:6" x14ac:dyDescent="0.35">
      <c r="A46" s="5"/>
      <c r="B46" s="5"/>
      <c r="C46" s="5"/>
      <c r="D46" s="17"/>
      <c r="E46" s="5"/>
      <c r="F46" s="5"/>
    </row>
    <row r="47" spans="1:6" x14ac:dyDescent="0.35">
      <c r="A47" s="5"/>
      <c r="B47" s="5"/>
      <c r="C47" s="5"/>
      <c r="D47" s="17"/>
      <c r="E47" s="5"/>
      <c r="F47" s="5"/>
    </row>
  </sheetData>
  <autoFilter ref="A4:F4" xr:uid="{00000000-0009-0000-0000-000001000000}"/>
  <mergeCells count="2">
    <mergeCell ref="A3:F3"/>
    <mergeCell ref="A2:F2"/>
  </mergeCells>
  <hyperlinks>
    <hyperlink ref="E5" r:id="rId1" xr:uid="{00000000-0004-0000-0100-000000000000}"/>
    <hyperlink ref="E8" r:id="rId2" xr:uid="{00000000-0004-0000-0100-000001000000}"/>
    <hyperlink ref="E9" r:id="rId3" xr:uid="{00000000-0004-0000-0100-000002000000}"/>
    <hyperlink ref="E16" r:id="rId4" xr:uid="{00000000-0004-0000-0100-000003000000}"/>
    <hyperlink ref="E17" r:id="rId5" xr:uid="{00000000-0004-0000-0100-000004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1"/>
  <sheetViews>
    <sheetView showGridLines="0" zoomScale="90" zoomScaleNormal="90" workbookViewId="0">
      <pane ySplit="4" topLeftCell="A9" activePane="bottomLeft" state="frozen"/>
      <selection pane="bottomLeft" activeCell="F18" sqref="F18"/>
    </sheetView>
  </sheetViews>
  <sheetFormatPr defaultColWidth="8.6328125" defaultRowHeight="15.5" x14ac:dyDescent="0.35"/>
  <cols>
    <col min="1" max="1" width="25.81640625" style="11" customWidth="1"/>
    <col min="2" max="2" width="23.36328125" style="11" bestFit="1" customWidth="1"/>
    <col min="3" max="3" width="21" style="11" bestFit="1" customWidth="1"/>
    <col min="4" max="4" width="22.453125" style="11" bestFit="1" customWidth="1"/>
    <col min="5" max="5" width="10.1796875" style="11" bestFit="1" customWidth="1"/>
    <col min="6" max="6" width="19.6328125" style="11" bestFit="1" customWidth="1"/>
    <col min="7" max="7" width="48.1796875" style="11" bestFit="1" customWidth="1"/>
    <col min="8" max="10" width="8.6328125" style="11" customWidth="1"/>
    <col min="11" max="16384" width="8.6328125" style="11"/>
  </cols>
  <sheetData>
    <row r="1" spans="1:7" x14ac:dyDescent="0.35">
      <c r="A1" s="9" t="s">
        <v>193</v>
      </c>
    </row>
    <row r="2" spans="1:7" x14ac:dyDescent="0.35">
      <c r="A2" s="36" t="s">
        <v>194</v>
      </c>
      <c r="B2" s="35"/>
      <c r="C2" s="35"/>
      <c r="D2" s="35"/>
      <c r="E2" s="35"/>
      <c r="F2" s="35"/>
      <c r="G2" s="35"/>
    </row>
    <row r="3" spans="1:7" x14ac:dyDescent="0.35">
      <c r="A3" s="33" t="s">
        <v>195</v>
      </c>
      <c r="B3" s="35"/>
      <c r="C3" s="35"/>
      <c r="D3" s="35"/>
      <c r="E3" s="35"/>
      <c r="F3" s="35"/>
      <c r="G3" s="35"/>
    </row>
    <row r="4" spans="1:7" s="3" customFormat="1" ht="34" customHeight="1" x14ac:dyDescent="0.35">
      <c r="A4" s="1" t="s">
        <v>196</v>
      </c>
      <c r="B4" s="1" t="s">
        <v>197</v>
      </c>
      <c r="C4" s="1" t="s">
        <v>198</v>
      </c>
      <c r="D4" s="1" t="s">
        <v>199</v>
      </c>
      <c r="E4" s="1" t="s">
        <v>200</v>
      </c>
      <c r="F4" s="1" t="s">
        <v>7</v>
      </c>
      <c r="G4" s="1" t="s">
        <v>201</v>
      </c>
    </row>
    <row r="5" spans="1:7" ht="17" customHeight="1" x14ac:dyDescent="0.35">
      <c r="A5" s="24" t="s">
        <v>147</v>
      </c>
      <c r="B5" s="24" t="s">
        <v>202</v>
      </c>
      <c r="C5" s="24" t="s">
        <v>91</v>
      </c>
      <c r="D5" s="24"/>
      <c r="E5" s="24" t="s">
        <v>203</v>
      </c>
      <c r="F5" s="24" t="s">
        <v>204</v>
      </c>
      <c r="G5" s="24" t="s">
        <v>205</v>
      </c>
    </row>
    <row r="6" spans="1:7" ht="34" customHeight="1" x14ac:dyDescent="0.35">
      <c r="A6" s="24" t="s">
        <v>91</v>
      </c>
      <c r="B6" s="24" t="s">
        <v>206</v>
      </c>
      <c r="C6" s="24" t="s">
        <v>21</v>
      </c>
      <c r="D6" s="24"/>
      <c r="E6" s="24" t="s">
        <v>203</v>
      </c>
      <c r="F6" s="24" t="s">
        <v>207</v>
      </c>
      <c r="G6" s="24" t="s">
        <v>208</v>
      </c>
    </row>
    <row r="7" spans="1:7" ht="34" customHeight="1" x14ac:dyDescent="0.35">
      <c r="A7" s="24" t="s">
        <v>37</v>
      </c>
      <c r="B7" s="24" t="s">
        <v>209</v>
      </c>
      <c r="C7" s="24" t="s">
        <v>21</v>
      </c>
      <c r="D7" s="24" t="s">
        <v>210</v>
      </c>
      <c r="E7" s="24" t="s">
        <v>211</v>
      </c>
      <c r="F7" s="24" t="s">
        <v>28</v>
      </c>
      <c r="G7" s="24" t="s">
        <v>212</v>
      </c>
    </row>
    <row r="8" spans="1:7" ht="34" customHeight="1" x14ac:dyDescent="0.35">
      <c r="A8" s="26" t="s">
        <v>37</v>
      </c>
      <c r="B8" s="26" t="s">
        <v>213</v>
      </c>
      <c r="C8" s="26" t="s">
        <v>157</v>
      </c>
      <c r="D8" s="26"/>
      <c r="E8" s="26" t="s">
        <v>203</v>
      </c>
      <c r="F8" s="26" t="s">
        <v>159</v>
      </c>
      <c r="G8" s="26" t="s">
        <v>214</v>
      </c>
    </row>
    <row r="9" spans="1:7" ht="17" customHeight="1" x14ac:dyDescent="0.35">
      <c r="A9" s="24" t="s">
        <v>37</v>
      </c>
      <c r="B9" s="24" t="s">
        <v>215</v>
      </c>
      <c r="C9" s="24" t="s">
        <v>13</v>
      </c>
      <c r="D9" s="24"/>
      <c r="E9" s="24" t="s">
        <v>203</v>
      </c>
      <c r="F9" s="24" t="s">
        <v>16</v>
      </c>
      <c r="G9" s="24" t="s">
        <v>216</v>
      </c>
    </row>
    <row r="10" spans="1:7" ht="17" customHeight="1" x14ac:dyDescent="0.35">
      <c r="A10" s="24" t="s">
        <v>58</v>
      </c>
      <c r="B10" s="24" t="s">
        <v>217</v>
      </c>
      <c r="C10" s="24" t="s">
        <v>21</v>
      </c>
      <c r="D10" s="24" t="s">
        <v>218</v>
      </c>
      <c r="E10" s="24" t="s">
        <v>211</v>
      </c>
      <c r="F10" s="24" t="s">
        <v>61</v>
      </c>
      <c r="G10" s="24" t="s">
        <v>219</v>
      </c>
    </row>
    <row r="11" spans="1:7" ht="51" customHeight="1" x14ac:dyDescent="0.35">
      <c r="A11" s="26" t="s">
        <v>220</v>
      </c>
      <c r="B11" s="26" t="s">
        <v>221</v>
      </c>
      <c r="C11" s="26" t="s">
        <v>67</v>
      </c>
      <c r="D11" s="26"/>
      <c r="E11" s="26" t="s">
        <v>203</v>
      </c>
      <c r="F11" s="26" t="s">
        <v>57</v>
      </c>
      <c r="G11" s="26" t="s">
        <v>222</v>
      </c>
    </row>
    <row r="12" spans="1:7" ht="34" customHeight="1" x14ac:dyDescent="0.35">
      <c r="A12" s="26" t="s">
        <v>37</v>
      </c>
      <c r="B12" s="26" t="s">
        <v>223</v>
      </c>
      <c r="C12" s="26" t="s">
        <v>8</v>
      </c>
      <c r="D12" s="26" t="s">
        <v>224</v>
      </c>
      <c r="E12" s="26" t="s">
        <v>211</v>
      </c>
      <c r="F12" s="26" t="s">
        <v>40</v>
      </c>
      <c r="G12" s="26" t="s">
        <v>225</v>
      </c>
    </row>
    <row r="13" spans="1:7" ht="17" customHeight="1" x14ac:dyDescent="0.35">
      <c r="A13" s="24" t="s">
        <v>37</v>
      </c>
      <c r="B13" s="24" t="s">
        <v>226</v>
      </c>
      <c r="C13" s="24" t="s">
        <v>75</v>
      </c>
      <c r="D13" s="24"/>
      <c r="E13" s="24" t="s">
        <v>203</v>
      </c>
      <c r="F13" s="24" t="s">
        <v>49</v>
      </c>
      <c r="G13" s="24" t="s">
        <v>227</v>
      </c>
    </row>
    <row r="14" spans="1:7" ht="17" customHeight="1" x14ac:dyDescent="0.35">
      <c r="A14" s="24" t="s">
        <v>21</v>
      </c>
      <c r="B14" s="24" t="s">
        <v>228</v>
      </c>
      <c r="C14" s="24" t="s">
        <v>29</v>
      </c>
      <c r="D14" s="24"/>
      <c r="E14" s="24" t="s">
        <v>203</v>
      </c>
      <c r="F14" s="24" t="s">
        <v>229</v>
      </c>
      <c r="G14" s="24" t="str">
        <f t="shared" ref="G14:G19" si="0">IF(COUNTA(A14:C14)=3,"a "&amp;A14&amp;" "&amp;B14&amp;" a "&amp;C14,"")</f>
        <v>a HealthCondition hasSymptom a Symptom</v>
      </c>
    </row>
    <row r="15" spans="1:7" ht="17" customHeight="1" x14ac:dyDescent="0.35">
      <c r="A15" s="24" t="s">
        <v>37</v>
      </c>
      <c r="B15" s="24" t="s">
        <v>230</v>
      </c>
      <c r="C15" s="24" t="s">
        <v>29</v>
      </c>
      <c r="D15" s="24" t="s">
        <v>231</v>
      </c>
      <c r="E15" s="24" t="s">
        <v>211</v>
      </c>
      <c r="F15" s="24" t="s">
        <v>229</v>
      </c>
      <c r="G15" s="24" t="str">
        <f t="shared" si="0"/>
        <v>a Guide describes a Symptom</v>
      </c>
    </row>
    <row r="16" spans="1:7" ht="17" customHeight="1" x14ac:dyDescent="0.35">
      <c r="A16" s="24" t="s">
        <v>37</v>
      </c>
      <c r="B16" s="24" t="s">
        <v>232</v>
      </c>
      <c r="C16" s="24" t="s">
        <v>80</v>
      </c>
      <c r="D16" s="24"/>
      <c r="E16" s="24" t="s">
        <v>203</v>
      </c>
      <c r="F16" s="24" t="s">
        <v>82</v>
      </c>
      <c r="G16" s="24" t="str">
        <f t="shared" si="0"/>
        <v>a Guide isGovernedBy a PrivacyPolicy</v>
      </c>
    </row>
    <row r="17" spans="1:9" ht="17" customHeight="1" x14ac:dyDescent="0.35">
      <c r="A17" s="24" t="s">
        <v>37</v>
      </c>
      <c r="B17" s="24" t="s">
        <v>233</v>
      </c>
      <c r="C17" s="24" t="s">
        <v>234</v>
      </c>
      <c r="D17" s="24"/>
      <c r="E17" s="24" t="s">
        <v>203</v>
      </c>
      <c r="F17" s="24" t="s">
        <v>126</v>
      </c>
      <c r="G17" s="24" t="str">
        <f t="shared" si="0"/>
        <v xml:space="preserve">a Guide isAvailableIn a Language </v>
      </c>
    </row>
    <row r="18" spans="1:9" ht="17" customHeight="1" x14ac:dyDescent="0.35">
      <c r="A18" s="24" t="s">
        <v>64</v>
      </c>
      <c r="B18" s="24" t="s">
        <v>235</v>
      </c>
      <c r="C18" s="24" t="s">
        <v>17</v>
      </c>
      <c r="D18" s="24"/>
      <c r="E18" s="24" t="s">
        <v>203</v>
      </c>
      <c r="F18" s="24" t="s">
        <v>20</v>
      </c>
      <c r="G18" s="24" t="str">
        <f t="shared" si="0"/>
        <v>a CareCentre hasStaffMember a StaffMember</v>
      </c>
    </row>
    <row r="19" spans="1:9" ht="17" customHeight="1" x14ac:dyDescent="0.35">
      <c r="A19" s="24" t="s">
        <v>17</v>
      </c>
      <c r="B19" s="24" t="s">
        <v>236</v>
      </c>
      <c r="C19" s="24" t="s">
        <v>71</v>
      </c>
      <c r="D19" s="24"/>
      <c r="E19" s="24" t="s">
        <v>203</v>
      </c>
      <c r="F19" s="24" t="s">
        <v>20</v>
      </c>
      <c r="G19" s="24" t="str">
        <f t="shared" si="0"/>
        <v>a StaffMember speaksLanguage a Language</v>
      </c>
    </row>
    <row r="20" spans="1:9" ht="17" customHeight="1" x14ac:dyDescent="0.35">
      <c r="A20" s="24" t="s">
        <v>147</v>
      </c>
      <c r="B20" s="24" t="s">
        <v>237</v>
      </c>
      <c r="C20" s="24" t="s">
        <v>21</v>
      </c>
      <c r="D20" s="24"/>
      <c r="E20" s="24" t="s">
        <v>203</v>
      </c>
      <c r="F20" s="24" t="s">
        <v>238</v>
      </c>
      <c r="G20" s="24" t="s">
        <v>239</v>
      </c>
      <c r="H20" s="5"/>
      <c r="I20" s="5"/>
    </row>
    <row r="21" spans="1:9" ht="17" customHeight="1" x14ac:dyDescent="0.35">
      <c r="A21" s="5"/>
      <c r="B21" s="5"/>
      <c r="C21" s="5"/>
      <c r="D21" s="5"/>
      <c r="E21" s="5"/>
      <c r="F21" s="5"/>
      <c r="G21" s="5" t="str">
        <f t="shared" ref="G21:G39" si="1">IF(COUNTA(A21:C21)=3,"a "&amp;A21&amp;" "&amp;B21&amp;" a "&amp;C21,"")</f>
        <v/>
      </c>
      <c r="H21" s="5"/>
      <c r="I21" s="5"/>
    </row>
    <row r="22" spans="1:9" ht="17" customHeight="1" x14ac:dyDescent="0.35">
      <c r="A22" s="5"/>
      <c r="B22" s="5"/>
      <c r="C22" s="5"/>
      <c r="D22" s="5"/>
      <c r="E22" s="5"/>
      <c r="F22" s="5"/>
      <c r="G22" s="5" t="str">
        <f t="shared" si="1"/>
        <v/>
      </c>
      <c r="H22" s="5"/>
      <c r="I22" s="5"/>
    </row>
    <row r="23" spans="1:9" ht="17" customHeight="1" x14ac:dyDescent="0.35">
      <c r="A23" s="5"/>
      <c r="B23" s="5"/>
      <c r="C23" s="5"/>
      <c r="D23" s="5"/>
      <c r="E23" s="5"/>
      <c r="F23" s="5"/>
      <c r="G23" s="5" t="str">
        <f t="shared" si="1"/>
        <v/>
      </c>
      <c r="H23" s="5"/>
      <c r="I23" s="5"/>
    </row>
    <row r="24" spans="1:9" ht="17" customHeight="1" x14ac:dyDescent="0.35">
      <c r="A24" s="5"/>
      <c r="B24" s="5"/>
      <c r="C24" s="5"/>
      <c r="D24" s="5"/>
      <c r="E24" s="5"/>
      <c r="F24" s="5"/>
      <c r="G24" s="5" t="str">
        <f t="shared" si="1"/>
        <v/>
      </c>
      <c r="H24" s="5"/>
      <c r="I24" s="5"/>
    </row>
    <row r="25" spans="1:9" ht="17" customHeight="1" x14ac:dyDescent="0.35">
      <c r="A25" s="5"/>
      <c r="B25" s="5"/>
      <c r="C25" s="5"/>
      <c r="D25" s="5"/>
      <c r="E25" s="5"/>
      <c r="F25" s="5"/>
      <c r="G25" s="5" t="str">
        <f t="shared" si="1"/>
        <v/>
      </c>
      <c r="H25" s="5"/>
      <c r="I25" s="5"/>
    </row>
    <row r="26" spans="1:9" ht="17" customHeight="1" x14ac:dyDescent="0.35">
      <c r="A26" s="5"/>
      <c r="B26" s="5"/>
      <c r="C26" s="5"/>
      <c r="D26" s="5"/>
      <c r="E26" s="5"/>
      <c r="F26" s="5"/>
      <c r="G26" s="5" t="str">
        <f t="shared" si="1"/>
        <v/>
      </c>
      <c r="H26" s="5"/>
      <c r="I26" s="5"/>
    </row>
    <row r="27" spans="1:9" ht="17" customHeight="1" x14ac:dyDescent="0.35">
      <c r="A27" s="5"/>
      <c r="B27" s="5"/>
      <c r="C27" s="5"/>
      <c r="D27" s="5"/>
      <c r="E27" s="5"/>
      <c r="F27" s="5"/>
      <c r="G27" s="5" t="str">
        <f t="shared" si="1"/>
        <v/>
      </c>
      <c r="H27" s="5"/>
      <c r="I27" s="5"/>
    </row>
    <row r="28" spans="1:9" ht="17" customHeight="1" x14ac:dyDescent="0.35">
      <c r="A28" s="5"/>
      <c r="B28" s="5"/>
      <c r="C28" s="5"/>
      <c r="D28" s="5"/>
      <c r="E28" s="5"/>
      <c r="F28" s="5"/>
      <c r="G28" s="5" t="str">
        <f t="shared" si="1"/>
        <v/>
      </c>
      <c r="H28" s="5"/>
      <c r="I28" s="5"/>
    </row>
    <row r="29" spans="1:9" ht="17" customHeight="1" x14ac:dyDescent="0.35">
      <c r="A29" s="5"/>
      <c r="B29" s="5"/>
      <c r="C29" s="5"/>
      <c r="D29" s="5"/>
      <c r="E29" s="5"/>
      <c r="F29" s="5"/>
      <c r="G29" s="5" t="str">
        <f t="shared" si="1"/>
        <v/>
      </c>
      <c r="H29" s="5"/>
      <c r="I29" s="5"/>
    </row>
    <row r="30" spans="1:9" ht="17" customHeight="1" x14ac:dyDescent="0.35">
      <c r="A30" s="5"/>
      <c r="B30" s="5"/>
      <c r="C30" s="5"/>
      <c r="D30" s="5"/>
      <c r="E30" s="5"/>
      <c r="F30" s="5"/>
      <c r="G30" s="5" t="str">
        <f t="shared" si="1"/>
        <v/>
      </c>
      <c r="H30" s="5"/>
      <c r="I30" s="5"/>
    </row>
    <row r="31" spans="1:9" ht="17" customHeight="1" x14ac:dyDescent="0.35">
      <c r="A31" s="5"/>
      <c r="B31" s="5"/>
      <c r="C31" s="5"/>
      <c r="D31" s="5"/>
      <c r="E31" s="5"/>
      <c r="F31" s="5"/>
      <c r="G31" s="5" t="str">
        <f t="shared" si="1"/>
        <v/>
      </c>
      <c r="H31" s="5"/>
      <c r="I31" s="5"/>
    </row>
    <row r="32" spans="1:9" ht="17" customHeight="1" x14ac:dyDescent="0.35">
      <c r="A32" s="5"/>
      <c r="B32" s="5"/>
      <c r="C32" s="5"/>
      <c r="D32" s="5"/>
      <c r="E32" s="5"/>
      <c r="F32" s="5"/>
      <c r="G32" s="5" t="str">
        <f t="shared" si="1"/>
        <v/>
      </c>
      <c r="H32" s="5"/>
      <c r="I32" s="5"/>
    </row>
    <row r="33" spans="1:9" ht="17" customHeight="1" x14ac:dyDescent="0.35">
      <c r="A33" s="5"/>
      <c r="B33" s="5"/>
      <c r="C33" s="5"/>
      <c r="D33" s="5"/>
      <c r="E33" s="5"/>
      <c r="F33" s="5"/>
      <c r="G33" s="5" t="str">
        <f t="shared" si="1"/>
        <v/>
      </c>
      <c r="H33" s="5"/>
      <c r="I33" s="5"/>
    </row>
    <row r="34" spans="1:9" ht="17" customHeight="1" x14ac:dyDescent="0.35">
      <c r="A34" s="5"/>
      <c r="B34" s="5"/>
      <c r="C34" s="5"/>
      <c r="D34" s="5"/>
      <c r="E34" s="5"/>
      <c r="F34" s="5"/>
      <c r="G34" s="5" t="str">
        <f t="shared" si="1"/>
        <v/>
      </c>
      <c r="H34" s="5"/>
      <c r="I34" s="5"/>
    </row>
    <row r="35" spans="1:9" ht="17" customHeight="1" x14ac:dyDescent="0.35">
      <c r="A35" s="5"/>
      <c r="B35" s="5"/>
      <c r="C35" s="5"/>
      <c r="D35" s="5"/>
      <c r="E35" s="5"/>
      <c r="F35" s="5"/>
      <c r="G35" s="5" t="str">
        <f t="shared" si="1"/>
        <v/>
      </c>
      <c r="H35" s="5"/>
      <c r="I35" s="5"/>
    </row>
    <row r="36" spans="1:9" ht="17" customHeight="1" x14ac:dyDescent="0.35">
      <c r="A36" s="5"/>
      <c r="B36" s="5"/>
      <c r="C36" s="5"/>
      <c r="D36" s="5"/>
      <c r="E36" s="5"/>
      <c r="F36" s="5"/>
      <c r="G36" s="5" t="str">
        <f t="shared" si="1"/>
        <v/>
      </c>
      <c r="H36" s="5"/>
      <c r="I36" s="5"/>
    </row>
    <row r="37" spans="1:9" ht="17" customHeight="1" x14ac:dyDescent="0.35">
      <c r="A37" s="5"/>
      <c r="B37" s="5"/>
      <c r="C37" s="5"/>
      <c r="D37" s="5"/>
      <c r="E37" s="5"/>
      <c r="F37" s="5"/>
      <c r="G37" s="5" t="str">
        <f t="shared" si="1"/>
        <v/>
      </c>
      <c r="H37" s="5"/>
      <c r="I37" s="5"/>
    </row>
    <row r="38" spans="1:9" ht="17" customHeight="1" x14ac:dyDescent="0.35">
      <c r="A38" s="5"/>
      <c r="B38" s="5"/>
      <c r="C38" s="5"/>
      <c r="D38" s="5"/>
      <c r="E38" s="5"/>
      <c r="F38" s="5"/>
      <c r="G38" s="5" t="str">
        <f t="shared" si="1"/>
        <v/>
      </c>
      <c r="H38" s="5"/>
      <c r="I38" s="5"/>
    </row>
    <row r="39" spans="1:9" ht="17" customHeight="1" x14ac:dyDescent="0.35">
      <c r="A39" s="5"/>
      <c r="B39" s="5"/>
      <c r="C39" s="5"/>
      <c r="D39" s="5"/>
      <c r="E39" s="5"/>
      <c r="F39" s="5"/>
      <c r="G39" s="5" t="str">
        <f t="shared" si="1"/>
        <v/>
      </c>
      <c r="H39" s="5"/>
      <c r="I39" s="5"/>
    </row>
    <row r="40" spans="1:9" x14ac:dyDescent="0.35">
      <c r="A40" s="5"/>
      <c r="B40" s="5"/>
      <c r="C40" s="5"/>
      <c r="D40" s="5"/>
      <c r="E40" s="5"/>
      <c r="F40" s="5"/>
      <c r="G40" s="5"/>
      <c r="H40" s="5"/>
      <c r="I40" s="5"/>
    </row>
    <row r="41" spans="1:9" x14ac:dyDescent="0.35">
      <c r="A41" s="5"/>
      <c r="B41" s="5"/>
      <c r="C41" s="5"/>
      <c r="D41" s="5"/>
      <c r="E41" s="5"/>
      <c r="F41" s="5"/>
      <c r="G41" s="5"/>
      <c r="H41" s="5"/>
      <c r="I41" s="5"/>
    </row>
  </sheetData>
  <mergeCells count="2">
    <mergeCell ref="A3:G3"/>
    <mergeCell ref="A2:G2"/>
  </mergeCells>
  <dataValidations count="1">
    <dataValidation type="list" allowBlank="1" errorTitle="Property character" error="Choose one of: none, inverse, symmetric, transitive" sqref="E5:E39" xr:uid="{00000000-0002-0000-0200-000000000000}">
      <formula1>"none,inverse,symmetric,transitive"</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9"/>
  <sheetViews>
    <sheetView showGridLines="0" zoomScale="119" zoomScaleNormal="92" workbookViewId="0">
      <pane ySplit="4" topLeftCell="A8" activePane="bottomLeft" state="frozen"/>
      <selection pane="bottomLeft" activeCell="E12" sqref="E12"/>
    </sheetView>
  </sheetViews>
  <sheetFormatPr defaultColWidth="8.6328125" defaultRowHeight="15.5" x14ac:dyDescent="0.35"/>
  <cols>
    <col min="1" max="1" width="20.6328125" style="11" bestFit="1" customWidth="1"/>
    <col min="2" max="2" width="38.453125" style="11" customWidth="1"/>
    <col min="3" max="3" width="11.36328125" style="11" bestFit="1" customWidth="1"/>
    <col min="4" max="4" width="30" style="11" bestFit="1" customWidth="1"/>
    <col min="5" max="5" width="30.1796875" style="11" bestFit="1" customWidth="1"/>
    <col min="6" max="6" width="40" style="11" customWidth="1"/>
    <col min="7" max="8" width="8.6328125" style="11" customWidth="1"/>
    <col min="9" max="16384" width="8.6328125" style="11"/>
  </cols>
  <sheetData>
    <row r="1" spans="1:5" x14ac:dyDescent="0.35">
      <c r="A1" s="9" t="s">
        <v>0</v>
      </c>
    </row>
    <row r="2" spans="1:5" ht="35" customHeight="1" x14ac:dyDescent="0.35">
      <c r="A2" s="36" t="s">
        <v>1</v>
      </c>
      <c r="B2" s="35"/>
      <c r="C2" s="35"/>
      <c r="D2" s="35"/>
      <c r="E2" s="35"/>
    </row>
    <row r="3" spans="1:5" x14ac:dyDescent="0.35">
      <c r="A3" s="33" t="s">
        <v>2</v>
      </c>
      <c r="B3" s="35"/>
      <c r="C3" s="35"/>
      <c r="D3" s="35"/>
      <c r="E3" s="35"/>
    </row>
    <row r="4" spans="1:5" s="3" customFormat="1" ht="17" customHeight="1" x14ac:dyDescent="0.35">
      <c r="A4" s="1" t="s">
        <v>3</v>
      </c>
      <c r="B4" s="1" t="s">
        <v>4</v>
      </c>
      <c r="C4" s="1" t="s">
        <v>5</v>
      </c>
      <c r="D4" s="1" t="s">
        <v>6</v>
      </c>
      <c r="E4" s="1" t="s">
        <v>7</v>
      </c>
    </row>
    <row r="5" spans="1:5" ht="17" customHeight="1" x14ac:dyDescent="0.35">
      <c r="A5" s="7" t="s">
        <v>8</v>
      </c>
      <c r="B5" s="7" t="s">
        <v>9</v>
      </c>
      <c r="C5" s="7" t="s">
        <v>10</v>
      </c>
      <c r="D5" s="7" t="s">
        <v>11</v>
      </c>
      <c r="E5" s="7" t="s">
        <v>12</v>
      </c>
    </row>
    <row r="6" spans="1:5" ht="17" customHeight="1" x14ac:dyDescent="0.35">
      <c r="A6" s="7" t="s">
        <v>13</v>
      </c>
      <c r="B6" s="7" t="s">
        <v>14</v>
      </c>
      <c r="C6" s="7" t="s">
        <v>10</v>
      </c>
      <c r="D6" s="7" t="s">
        <v>15</v>
      </c>
      <c r="E6" s="7" t="s">
        <v>16</v>
      </c>
    </row>
    <row r="7" spans="1:5" ht="17" customHeight="1" x14ac:dyDescent="0.35">
      <c r="A7" s="7" t="s">
        <v>17</v>
      </c>
      <c r="B7" s="7" t="s">
        <v>18</v>
      </c>
      <c r="C7" s="7" t="s">
        <v>10</v>
      </c>
      <c r="D7" s="7" t="s">
        <v>19</v>
      </c>
      <c r="E7" s="7" t="s">
        <v>20</v>
      </c>
    </row>
    <row r="8" spans="1:5" ht="17" customHeight="1" x14ac:dyDescent="0.35">
      <c r="A8" s="7" t="s">
        <v>21</v>
      </c>
      <c r="B8" s="7" t="s">
        <v>22</v>
      </c>
      <c r="C8" s="7" t="s">
        <v>10</v>
      </c>
      <c r="D8" s="7" t="s">
        <v>23</v>
      </c>
      <c r="E8" s="7" t="s">
        <v>24</v>
      </c>
    </row>
    <row r="9" spans="1:5" ht="17" customHeight="1" x14ac:dyDescent="0.35">
      <c r="A9" s="7" t="s">
        <v>25</v>
      </c>
      <c r="B9" s="7" t="s">
        <v>26</v>
      </c>
      <c r="C9" s="7" t="s">
        <v>10</v>
      </c>
      <c r="D9" s="7" t="s">
        <v>27</v>
      </c>
      <c r="E9" s="7" t="s">
        <v>28</v>
      </c>
    </row>
    <row r="10" spans="1:5" ht="17" customHeight="1" x14ac:dyDescent="0.35">
      <c r="A10" s="7" t="s">
        <v>29</v>
      </c>
      <c r="B10" s="7" t="s">
        <v>30</v>
      </c>
      <c r="C10" s="7" t="s">
        <v>10</v>
      </c>
      <c r="D10" s="7" t="s">
        <v>31</v>
      </c>
      <c r="E10" s="7" t="s">
        <v>32</v>
      </c>
    </row>
    <row r="11" spans="1:5" ht="17" customHeight="1" x14ac:dyDescent="0.35">
      <c r="A11" s="7" t="s">
        <v>33</v>
      </c>
      <c r="B11" s="7" t="s">
        <v>34</v>
      </c>
      <c r="C11" s="7" t="s">
        <v>10</v>
      </c>
      <c r="D11" s="7" t="s">
        <v>35</v>
      </c>
      <c r="E11" s="7" t="s">
        <v>36</v>
      </c>
    </row>
    <row r="12" spans="1:5" ht="17" customHeight="1" x14ac:dyDescent="0.35">
      <c r="A12" s="7" t="s">
        <v>37</v>
      </c>
      <c r="B12" s="7" t="s">
        <v>38</v>
      </c>
      <c r="C12" s="7" t="s">
        <v>10</v>
      </c>
      <c r="D12" s="7" t="s">
        <v>39</v>
      </c>
      <c r="E12" s="7" t="s">
        <v>40</v>
      </c>
    </row>
    <row r="13" spans="1:5" ht="17" customHeight="1" x14ac:dyDescent="0.35">
      <c r="A13" s="7" t="s">
        <v>37</v>
      </c>
      <c r="B13" s="7" t="s">
        <v>41</v>
      </c>
      <c r="C13" s="7" t="s">
        <v>42</v>
      </c>
      <c r="D13" s="20">
        <v>46095</v>
      </c>
      <c r="E13" s="7" t="s">
        <v>43</v>
      </c>
    </row>
    <row r="14" spans="1:5" ht="17" customHeight="1" x14ac:dyDescent="0.35">
      <c r="A14" s="7" t="s">
        <v>37</v>
      </c>
      <c r="B14" s="7" t="s">
        <v>44</v>
      </c>
      <c r="C14" s="7" t="s">
        <v>42</v>
      </c>
      <c r="D14" s="20">
        <v>46223</v>
      </c>
      <c r="E14" s="7" t="s">
        <v>16</v>
      </c>
    </row>
    <row r="15" spans="1:5" ht="17" customHeight="1" x14ac:dyDescent="0.35">
      <c r="A15" s="7" t="s">
        <v>37</v>
      </c>
      <c r="B15" s="7" t="s">
        <v>45</v>
      </c>
      <c r="C15" s="7" t="s">
        <v>10</v>
      </c>
      <c r="D15" s="7" t="s">
        <v>46</v>
      </c>
      <c r="E15" s="7" t="s">
        <v>36</v>
      </c>
    </row>
    <row r="16" spans="1:5" ht="17" customHeight="1" x14ac:dyDescent="0.35">
      <c r="A16" s="7" t="s">
        <v>37</v>
      </c>
      <c r="B16" s="7" t="s">
        <v>47</v>
      </c>
      <c r="C16" s="7" t="s">
        <v>48</v>
      </c>
      <c r="D16" s="7" t="b">
        <v>1</v>
      </c>
      <c r="E16" s="7" t="s">
        <v>49</v>
      </c>
    </row>
    <row r="17" spans="1:6" ht="17" customHeight="1" x14ac:dyDescent="0.35">
      <c r="A17" s="7" t="s">
        <v>37</v>
      </c>
      <c r="B17" s="7" t="s">
        <v>50</v>
      </c>
      <c r="C17" s="7" t="s">
        <v>48</v>
      </c>
      <c r="D17" s="7" t="b">
        <v>1</v>
      </c>
      <c r="E17" s="7" t="s">
        <v>49</v>
      </c>
    </row>
    <row r="18" spans="1:6" ht="17" customHeight="1" x14ac:dyDescent="0.35">
      <c r="A18" s="7" t="s">
        <v>37</v>
      </c>
      <c r="B18" s="7" t="s">
        <v>51</v>
      </c>
      <c r="C18" s="7" t="s">
        <v>52</v>
      </c>
      <c r="D18" s="7"/>
      <c r="E18" s="7" t="s">
        <v>49</v>
      </c>
    </row>
    <row r="19" spans="1:6" ht="17" customHeight="1" x14ac:dyDescent="0.35">
      <c r="A19" s="27" t="s">
        <v>37</v>
      </c>
      <c r="B19" s="27" t="s">
        <v>53</v>
      </c>
      <c r="C19" s="27" t="s">
        <v>48</v>
      </c>
      <c r="D19" s="27" t="b">
        <v>1</v>
      </c>
      <c r="E19" s="27" t="s">
        <v>43</v>
      </c>
    </row>
    <row r="20" spans="1:6" ht="17" customHeight="1" x14ac:dyDescent="0.35">
      <c r="A20" s="7" t="s">
        <v>54</v>
      </c>
      <c r="B20" s="7" t="s">
        <v>55</v>
      </c>
      <c r="C20" s="7" t="s">
        <v>10</v>
      </c>
      <c r="D20" s="7" t="s">
        <v>56</v>
      </c>
      <c r="E20" s="7" t="s">
        <v>57</v>
      </c>
    </row>
    <row r="21" spans="1:6" s="23" customFormat="1" ht="17" customHeight="1" x14ac:dyDescent="0.3">
      <c r="A21" s="7" t="s">
        <v>58</v>
      </c>
      <c r="B21" s="7" t="s">
        <v>59</v>
      </c>
      <c r="C21" s="7" t="s">
        <v>10</v>
      </c>
      <c r="D21" s="7" t="s">
        <v>60</v>
      </c>
      <c r="E21" s="7" t="s">
        <v>61</v>
      </c>
    </row>
    <row r="22" spans="1:6" ht="17" customHeight="1" x14ac:dyDescent="0.35">
      <c r="A22" s="7" t="s">
        <v>58</v>
      </c>
      <c r="B22" s="7" t="s">
        <v>62</v>
      </c>
      <c r="C22" s="7" t="s">
        <v>10</v>
      </c>
      <c r="D22" s="7" t="s">
        <v>63</v>
      </c>
      <c r="E22" s="7" t="s">
        <v>61</v>
      </c>
    </row>
    <row r="23" spans="1:6" ht="17" customHeight="1" x14ac:dyDescent="0.35">
      <c r="A23" s="7" t="s">
        <v>64</v>
      </c>
      <c r="B23" s="7" t="s">
        <v>65</v>
      </c>
      <c r="C23" s="7" t="s">
        <v>10</v>
      </c>
      <c r="D23" s="7" t="s">
        <v>66</v>
      </c>
      <c r="E23" s="7" t="s">
        <v>20</v>
      </c>
    </row>
    <row r="24" spans="1:6" ht="17" customHeight="1" x14ac:dyDescent="0.35">
      <c r="A24" s="7" t="s">
        <v>67</v>
      </c>
      <c r="B24" s="7" t="s">
        <v>68</v>
      </c>
      <c r="C24" s="7" t="s">
        <v>10</v>
      </c>
      <c r="D24" s="7" t="s">
        <v>69</v>
      </c>
      <c r="E24" s="7" t="s">
        <v>57</v>
      </c>
    </row>
    <row r="25" spans="1:6" ht="17" customHeight="1" x14ac:dyDescent="0.35">
      <c r="A25" s="7" t="s">
        <v>67</v>
      </c>
      <c r="B25" s="7" t="s">
        <v>70</v>
      </c>
      <c r="C25" s="7" t="s">
        <v>10</v>
      </c>
      <c r="D25" s="7">
        <v>3000</v>
      </c>
      <c r="E25" s="7" t="s">
        <v>57</v>
      </c>
    </row>
    <row r="26" spans="1:6" ht="17" customHeight="1" x14ac:dyDescent="0.35">
      <c r="A26" s="7" t="s">
        <v>71</v>
      </c>
      <c r="B26" s="7" t="s">
        <v>72</v>
      </c>
      <c r="C26" s="7" t="s">
        <v>10</v>
      </c>
      <c r="D26" s="7" t="s">
        <v>73</v>
      </c>
      <c r="E26" s="7" t="s">
        <v>74</v>
      </c>
    </row>
    <row r="27" spans="1:6" ht="17" customHeight="1" x14ac:dyDescent="0.35">
      <c r="A27" s="7" t="s">
        <v>75</v>
      </c>
      <c r="B27" s="7" t="s">
        <v>76</v>
      </c>
      <c r="C27" s="7" t="s">
        <v>10</v>
      </c>
      <c r="D27" s="7" t="s">
        <v>77</v>
      </c>
      <c r="E27" s="7" t="s">
        <v>49</v>
      </c>
    </row>
    <row r="28" spans="1:6" ht="17" customHeight="1" x14ac:dyDescent="0.35">
      <c r="A28" s="7" t="s">
        <v>75</v>
      </c>
      <c r="B28" s="7" t="s">
        <v>78</v>
      </c>
      <c r="C28" s="7" t="s">
        <v>10</v>
      </c>
      <c r="D28" s="7" t="s">
        <v>79</v>
      </c>
      <c r="E28" s="7" t="s">
        <v>49</v>
      </c>
    </row>
    <row r="29" spans="1:6" ht="17" customHeight="1" x14ac:dyDescent="0.35">
      <c r="A29" s="7" t="s">
        <v>80</v>
      </c>
      <c r="B29" s="7" t="s">
        <v>81</v>
      </c>
      <c r="C29" s="7" t="s">
        <v>52</v>
      </c>
      <c r="D29" s="7"/>
      <c r="E29" s="7" t="s">
        <v>82</v>
      </c>
    </row>
    <row r="30" spans="1:6" x14ac:dyDescent="0.35">
      <c r="A30" s="31" t="s">
        <v>58</v>
      </c>
      <c r="B30" s="31" t="s">
        <v>83</v>
      </c>
      <c r="C30" s="31" t="s">
        <v>48</v>
      </c>
      <c r="D30" s="31" t="b">
        <v>1</v>
      </c>
      <c r="E30" s="31" t="s">
        <v>61</v>
      </c>
      <c r="F30" s="41"/>
    </row>
    <row r="31" spans="1:6" ht="31" customHeight="1" x14ac:dyDescent="0.35">
      <c r="A31" s="31" t="s">
        <v>58</v>
      </c>
      <c r="B31" s="31" t="s">
        <v>84</v>
      </c>
      <c r="C31" s="31" t="s">
        <v>10</v>
      </c>
      <c r="D31" s="31" t="s">
        <v>85</v>
      </c>
      <c r="E31" s="31" t="s">
        <v>61</v>
      </c>
      <c r="F31" s="35"/>
    </row>
    <row r="32" spans="1:6" x14ac:dyDescent="0.35">
      <c r="A32" s="31" t="s">
        <v>54</v>
      </c>
      <c r="B32" s="31" t="s">
        <v>86</v>
      </c>
      <c r="C32" s="31" t="s">
        <v>87</v>
      </c>
      <c r="D32" s="31">
        <v>12.5</v>
      </c>
      <c r="E32" s="31" t="s">
        <v>57</v>
      </c>
      <c r="F32" s="35"/>
    </row>
    <row r="33" spans="1:6" x14ac:dyDescent="0.35">
      <c r="A33" s="31" t="s">
        <v>80</v>
      </c>
      <c r="B33" s="31" t="s">
        <v>88</v>
      </c>
      <c r="C33" s="31" t="s">
        <v>48</v>
      </c>
      <c r="D33" s="31" t="b">
        <v>0</v>
      </c>
      <c r="E33" s="31" t="s">
        <v>82</v>
      </c>
      <c r="F33" s="35"/>
    </row>
    <row r="34" spans="1:6" ht="31" customHeight="1" x14ac:dyDescent="0.35">
      <c r="A34" s="31" t="s">
        <v>80</v>
      </c>
      <c r="B34" s="31" t="s">
        <v>89</v>
      </c>
      <c r="C34" s="31" t="s">
        <v>10</v>
      </c>
      <c r="D34" s="31" t="s">
        <v>90</v>
      </c>
      <c r="E34" s="31" t="s">
        <v>82</v>
      </c>
      <c r="F34" s="35"/>
    </row>
    <row r="35" spans="1:6" x14ac:dyDescent="0.35">
      <c r="A35" s="31" t="s">
        <v>91</v>
      </c>
      <c r="B35" s="31" t="s">
        <v>92</v>
      </c>
      <c r="C35" s="31" t="s">
        <v>87</v>
      </c>
      <c r="D35" s="31">
        <v>10</v>
      </c>
      <c r="E35" s="31" t="s">
        <v>20</v>
      </c>
      <c r="F35" s="35"/>
    </row>
    <row r="36" spans="1:6" x14ac:dyDescent="0.35">
      <c r="A36" s="5"/>
      <c r="B36" s="5"/>
      <c r="C36" s="5"/>
      <c r="D36" s="5"/>
      <c r="E36" s="5"/>
    </row>
    <row r="37" spans="1:6" x14ac:dyDescent="0.35">
      <c r="A37" s="5"/>
      <c r="B37" s="5"/>
      <c r="C37" s="5"/>
      <c r="D37" s="5"/>
      <c r="E37" s="5"/>
    </row>
    <row r="38" spans="1:6" x14ac:dyDescent="0.35">
      <c r="A38" s="5"/>
      <c r="B38" s="5"/>
      <c r="C38" s="5"/>
      <c r="D38" s="5"/>
      <c r="E38" s="5"/>
    </row>
    <row r="39" spans="1:6" x14ac:dyDescent="0.35">
      <c r="A39" s="5"/>
      <c r="B39" s="5"/>
      <c r="C39" s="5"/>
      <c r="D39" s="5"/>
      <c r="E39" s="5"/>
    </row>
    <row r="40" spans="1:6" x14ac:dyDescent="0.35">
      <c r="A40" s="5"/>
      <c r="B40" s="5"/>
      <c r="C40" s="5"/>
      <c r="D40" s="5"/>
      <c r="E40" s="5"/>
    </row>
    <row r="41" spans="1:6" x14ac:dyDescent="0.35">
      <c r="A41" s="5"/>
      <c r="B41" s="5"/>
      <c r="C41" s="5"/>
      <c r="D41" s="5"/>
      <c r="E41" s="5"/>
    </row>
    <row r="42" spans="1:6" x14ac:dyDescent="0.35">
      <c r="A42" s="5"/>
      <c r="B42" s="5"/>
      <c r="C42" s="5"/>
      <c r="D42" s="5"/>
      <c r="E42" s="5"/>
    </row>
    <row r="43" spans="1:6" x14ac:dyDescent="0.35">
      <c r="A43" s="5"/>
      <c r="B43" s="5"/>
      <c r="C43" s="5"/>
      <c r="D43" s="5"/>
      <c r="E43" s="5"/>
    </row>
    <row r="44" spans="1:6" x14ac:dyDescent="0.35">
      <c r="A44" s="5"/>
      <c r="B44" s="5"/>
      <c r="C44" s="5"/>
      <c r="D44" s="5"/>
      <c r="E44" s="5"/>
    </row>
    <row r="45" spans="1:6" x14ac:dyDescent="0.35">
      <c r="A45" s="5"/>
      <c r="B45" s="5"/>
      <c r="C45" s="5"/>
      <c r="D45" s="5"/>
      <c r="E45" s="5"/>
    </row>
    <row r="46" spans="1:6" x14ac:dyDescent="0.35">
      <c r="A46" s="5"/>
      <c r="B46" s="5"/>
      <c r="C46" s="5"/>
      <c r="D46" s="5"/>
      <c r="E46" s="5"/>
    </row>
    <row r="47" spans="1:6" x14ac:dyDescent="0.35">
      <c r="A47" s="5"/>
      <c r="B47" s="5"/>
      <c r="C47" s="5"/>
      <c r="D47" s="5"/>
      <c r="E47" s="5"/>
    </row>
    <row r="48" spans="1:6" x14ac:dyDescent="0.35">
      <c r="A48" s="5"/>
      <c r="B48" s="5"/>
      <c r="C48" s="5"/>
      <c r="D48" s="5"/>
      <c r="E48" s="5"/>
    </row>
    <row r="49" spans="1:5" x14ac:dyDescent="0.35">
      <c r="A49" s="5"/>
      <c r="B49" s="5"/>
      <c r="C49" s="5"/>
      <c r="D49" s="5"/>
      <c r="E49" s="5"/>
    </row>
  </sheetData>
  <mergeCells count="3">
    <mergeCell ref="A2:E2"/>
    <mergeCell ref="F30:F35"/>
    <mergeCell ref="A3:E3"/>
  </mergeCells>
  <dataValidations count="1">
    <dataValidation type="list" allowBlank="1" errorTitle="Datatype" error="Choose one of: xsd:string, xsd:integer, xsd:decimal, xsd:boolean, xsd:date, xsd:dateTime, xsd:anyURI" sqref="C5:C16 C18:C23 C25:C41" xr:uid="{00000000-0002-0000-0300-000000000000}">
      <formula1>"xsd:string,xsd:integer,xsd:decimal,xsd:boolean,xsd:date,xsd:dateTime,xsd:anyURI"</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showGridLines="0" zoomScaleNormal="151" workbookViewId="0">
      <pane ySplit="4" topLeftCell="A79" activePane="bottomLeft" state="frozen"/>
      <selection pane="bottomLeft" activeCell="F80" sqref="F80"/>
    </sheetView>
  </sheetViews>
  <sheetFormatPr defaultColWidth="8.6328125" defaultRowHeight="14.5" x14ac:dyDescent="0.35"/>
  <cols>
    <col min="1" max="1" width="24" bestFit="1" customWidth="1"/>
    <col min="2" max="2" width="39.36328125" customWidth="1"/>
    <col min="3" max="3" width="22" bestFit="1" customWidth="1"/>
    <col min="4" max="4" width="18" bestFit="1" customWidth="1"/>
    <col min="5" max="5" width="10.6328125" bestFit="1" customWidth="1"/>
    <col min="6" max="6" width="39" bestFit="1" customWidth="1"/>
  </cols>
  <sheetData>
    <row r="1" spans="1:6" ht="16" customHeight="1" x14ac:dyDescent="0.35">
      <c r="A1" s="9" t="s">
        <v>240</v>
      </c>
      <c r="B1" s="11"/>
      <c r="C1" s="11"/>
      <c r="D1" s="11"/>
      <c r="E1" s="11"/>
      <c r="F1" s="11"/>
    </row>
    <row r="2" spans="1:6" ht="16" customHeight="1" x14ac:dyDescent="0.35">
      <c r="A2" s="25" t="s">
        <v>241</v>
      </c>
      <c r="B2" s="25"/>
      <c r="C2" s="25"/>
      <c r="D2" s="25"/>
      <c r="E2" s="25"/>
      <c r="F2" s="25"/>
    </row>
    <row r="3" spans="1:6" ht="16" customHeight="1" x14ac:dyDescent="0.35">
      <c r="A3" s="42" t="s">
        <v>242</v>
      </c>
      <c r="B3" s="43"/>
      <c r="C3" s="43"/>
      <c r="D3" s="43"/>
      <c r="E3" s="43"/>
      <c r="F3" s="43"/>
    </row>
    <row r="4" spans="1:6" s="18" customFormat="1" ht="17" customHeight="1" x14ac:dyDescent="0.35">
      <c r="A4" s="1" t="s">
        <v>243</v>
      </c>
      <c r="B4" s="1" t="s">
        <v>244</v>
      </c>
      <c r="C4" s="1" t="s">
        <v>245</v>
      </c>
      <c r="D4" s="1" t="s">
        <v>246</v>
      </c>
      <c r="E4" s="1" t="s">
        <v>247</v>
      </c>
      <c r="F4" s="1" t="s">
        <v>248</v>
      </c>
    </row>
    <row r="5" spans="1:6" ht="17" customHeight="1" x14ac:dyDescent="0.35">
      <c r="A5" s="19" t="s">
        <v>249</v>
      </c>
      <c r="B5" s="19" t="s">
        <v>202</v>
      </c>
      <c r="C5" s="19" t="s">
        <v>250</v>
      </c>
      <c r="D5" s="19" t="s">
        <v>147</v>
      </c>
      <c r="E5" s="19" t="s">
        <v>251</v>
      </c>
      <c r="F5" s="19" t="s">
        <v>252</v>
      </c>
    </row>
    <row r="6" spans="1:6" ht="17" customHeight="1" x14ac:dyDescent="0.35">
      <c r="A6" s="19" t="s">
        <v>253</v>
      </c>
      <c r="B6" s="19" t="s">
        <v>202</v>
      </c>
      <c r="C6" s="19" t="s">
        <v>254</v>
      </c>
      <c r="D6" s="19" t="s">
        <v>147</v>
      </c>
      <c r="E6" s="19" t="s">
        <v>251</v>
      </c>
      <c r="F6" s="19" t="s">
        <v>255</v>
      </c>
    </row>
    <row r="7" spans="1:6" ht="17" customHeight="1" x14ac:dyDescent="0.35">
      <c r="A7" s="19" t="s">
        <v>256</v>
      </c>
      <c r="B7" s="19" t="s">
        <v>202</v>
      </c>
      <c r="C7" s="19" t="s">
        <v>257</v>
      </c>
      <c r="D7" s="19" t="s">
        <v>147</v>
      </c>
      <c r="E7" s="19" t="s">
        <v>251</v>
      </c>
      <c r="F7" s="19" t="s">
        <v>255</v>
      </c>
    </row>
    <row r="8" spans="1:6" ht="17" customHeight="1" x14ac:dyDescent="0.35">
      <c r="A8" s="19" t="s">
        <v>250</v>
      </c>
      <c r="B8" s="19" t="s">
        <v>206</v>
      </c>
      <c r="C8" s="19" t="s">
        <v>258</v>
      </c>
      <c r="D8" s="19" t="s">
        <v>91</v>
      </c>
      <c r="E8" s="19" t="s">
        <v>251</v>
      </c>
      <c r="F8" s="19" t="s">
        <v>259</v>
      </c>
    </row>
    <row r="9" spans="1:6" ht="17" customHeight="1" x14ac:dyDescent="0.35">
      <c r="A9" s="19" t="s">
        <v>254</v>
      </c>
      <c r="B9" s="19" t="s">
        <v>206</v>
      </c>
      <c r="C9" s="19" t="s">
        <v>260</v>
      </c>
      <c r="D9" s="19" t="s">
        <v>91</v>
      </c>
      <c r="E9" s="19" t="s">
        <v>251</v>
      </c>
      <c r="F9" s="19" t="s">
        <v>261</v>
      </c>
    </row>
    <row r="10" spans="1:6" ht="17" customHeight="1" x14ac:dyDescent="0.35">
      <c r="A10" s="19" t="s">
        <v>257</v>
      </c>
      <c r="B10" s="19" t="s">
        <v>206</v>
      </c>
      <c r="C10" s="19" t="s">
        <v>262</v>
      </c>
      <c r="D10" s="19" t="s">
        <v>91</v>
      </c>
      <c r="E10" s="19" t="s">
        <v>251</v>
      </c>
      <c r="F10" s="19" t="s">
        <v>261</v>
      </c>
    </row>
    <row r="11" spans="1:6" ht="17" customHeight="1" x14ac:dyDescent="0.35">
      <c r="A11" s="7" t="s">
        <v>263</v>
      </c>
      <c r="B11" s="7" t="s">
        <v>209</v>
      </c>
      <c r="C11" s="7" t="s">
        <v>258</v>
      </c>
      <c r="D11" s="7" t="s">
        <v>37</v>
      </c>
      <c r="E11" s="7" t="s">
        <v>251</v>
      </c>
      <c r="F11" s="7" t="s">
        <v>264</v>
      </c>
    </row>
    <row r="12" spans="1:6" ht="17" customHeight="1" x14ac:dyDescent="0.35">
      <c r="A12" s="7" t="s">
        <v>265</v>
      </c>
      <c r="B12" s="7" t="s">
        <v>209</v>
      </c>
      <c r="C12" s="7" t="s">
        <v>260</v>
      </c>
      <c r="D12" s="7" t="s">
        <v>37</v>
      </c>
      <c r="E12" s="7" t="s">
        <v>251</v>
      </c>
      <c r="F12" s="7" t="s">
        <v>266</v>
      </c>
    </row>
    <row r="13" spans="1:6" ht="17" customHeight="1" x14ac:dyDescent="0.35">
      <c r="A13" s="7" t="s">
        <v>267</v>
      </c>
      <c r="B13" s="7" t="s">
        <v>209</v>
      </c>
      <c r="C13" s="7" t="s">
        <v>262</v>
      </c>
      <c r="D13" s="7" t="s">
        <v>37</v>
      </c>
      <c r="E13" s="7" t="s">
        <v>251</v>
      </c>
      <c r="F13" s="7" t="s">
        <v>266</v>
      </c>
    </row>
    <row r="14" spans="1:6" ht="17" customHeight="1" x14ac:dyDescent="0.35">
      <c r="A14" s="7" t="s">
        <v>263</v>
      </c>
      <c r="B14" s="7" t="s">
        <v>213</v>
      </c>
      <c r="C14" s="7" t="s">
        <v>268</v>
      </c>
      <c r="D14" s="7" t="s">
        <v>37</v>
      </c>
      <c r="E14" s="7" t="s">
        <v>251</v>
      </c>
      <c r="F14" s="7" t="s">
        <v>269</v>
      </c>
    </row>
    <row r="15" spans="1:6" ht="17" customHeight="1" x14ac:dyDescent="0.35">
      <c r="A15" s="7" t="s">
        <v>265</v>
      </c>
      <c r="B15" s="7" t="s">
        <v>213</v>
      </c>
      <c r="C15" s="7" t="s">
        <v>270</v>
      </c>
      <c r="D15" s="7" t="s">
        <v>37</v>
      </c>
      <c r="E15" s="7" t="s">
        <v>251</v>
      </c>
      <c r="F15" s="7" t="s">
        <v>271</v>
      </c>
    </row>
    <row r="16" spans="1:6" ht="17" customHeight="1" x14ac:dyDescent="0.35">
      <c r="A16" s="7" t="s">
        <v>267</v>
      </c>
      <c r="B16" s="7" t="s">
        <v>213</v>
      </c>
      <c r="C16" s="7" t="s">
        <v>272</v>
      </c>
      <c r="D16" s="7" t="s">
        <v>37</v>
      </c>
      <c r="E16" s="7" t="s">
        <v>251</v>
      </c>
      <c r="F16" s="7" t="s">
        <v>271</v>
      </c>
    </row>
    <row r="17" spans="1:6" ht="17" customHeight="1" x14ac:dyDescent="0.35">
      <c r="A17" s="7" t="s">
        <v>263</v>
      </c>
      <c r="B17" s="7" t="s">
        <v>215</v>
      </c>
      <c r="C17" s="7" t="s">
        <v>273</v>
      </c>
      <c r="D17" s="7" t="s">
        <v>37</v>
      </c>
      <c r="E17" s="7" t="s">
        <v>251</v>
      </c>
      <c r="F17" s="7" t="s">
        <v>16</v>
      </c>
    </row>
    <row r="18" spans="1:6" ht="17" customHeight="1" x14ac:dyDescent="0.35">
      <c r="A18" s="7" t="s">
        <v>265</v>
      </c>
      <c r="B18" s="7" t="s">
        <v>215</v>
      </c>
      <c r="C18" s="7" t="s">
        <v>274</v>
      </c>
      <c r="D18" s="7" t="s">
        <v>37</v>
      </c>
      <c r="E18" s="7" t="s">
        <v>251</v>
      </c>
      <c r="F18" s="7" t="s">
        <v>275</v>
      </c>
    </row>
    <row r="19" spans="1:6" ht="17" customHeight="1" x14ac:dyDescent="0.35">
      <c r="A19" s="7" t="s">
        <v>267</v>
      </c>
      <c r="B19" s="7" t="s">
        <v>215</v>
      </c>
      <c r="C19" s="7" t="s">
        <v>276</v>
      </c>
      <c r="D19" s="7" t="s">
        <v>37</v>
      </c>
      <c r="E19" s="7" t="s">
        <v>251</v>
      </c>
      <c r="F19" s="7" t="s">
        <v>275</v>
      </c>
    </row>
    <row r="20" spans="1:6" ht="17" customHeight="1" x14ac:dyDescent="0.35">
      <c r="A20" s="7" t="s">
        <v>263</v>
      </c>
      <c r="B20" s="7" t="s">
        <v>213</v>
      </c>
      <c r="C20" s="7" t="s">
        <v>277</v>
      </c>
      <c r="D20" s="7" t="s">
        <v>37</v>
      </c>
      <c r="E20" s="7" t="s">
        <v>251</v>
      </c>
      <c r="F20" s="7"/>
    </row>
    <row r="21" spans="1:6" ht="17" customHeight="1" x14ac:dyDescent="0.35">
      <c r="A21" s="7" t="s">
        <v>265</v>
      </c>
      <c r="B21" s="7" t="s">
        <v>213</v>
      </c>
      <c r="C21" s="7" t="s">
        <v>278</v>
      </c>
      <c r="D21" s="7" t="s">
        <v>37</v>
      </c>
      <c r="E21" s="7" t="s">
        <v>251</v>
      </c>
      <c r="F21" s="7" t="s">
        <v>279</v>
      </c>
    </row>
    <row r="22" spans="1:6" ht="17" customHeight="1" x14ac:dyDescent="0.35">
      <c r="A22" s="7" t="s">
        <v>267</v>
      </c>
      <c r="B22" s="7" t="s">
        <v>213</v>
      </c>
      <c r="C22" s="7" t="s">
        <v>280</v>
      </c>
      <c r="D22" s="7" t="s">
        <v>37</v>
      </c>
      <c r="E22" s="7" t="s">
        <v>251</v>
      </c>
      <c r="F22" s="7" t="s">
        <v>279</v>
      </c>
    </row>
    <row r="23" spans="1:6" ht="17" customHeight="1" x14ac:dyDescent="0.35">
      <c r="A23" s="27" t="s">
        <v>265</v>
      </c>
      <c r="B23" s="27" t="s">
        <v>223</v>
      </c>
      <c r="C23" s="27" t="s">
        <v>253</v>
      </c>
      <c r="D23" s="27" t="s">
        <v>37</v>
      </c>
      <c r="E23" s="27" t="s">
        <v>251</v>
      </c>
      <c r="F23" s="27" t="s">
        <v>16</v>
      </c>
    </row>
    <row r="24" spans="1:6" ht="17" customHeight="1" x14ac:dyDescent="0.35">
      <c r="A24" s="27" t="s">
        <v>267</v>
      </c>
      <c r="B24" s="27" t="s">
        <v>223</v>
      </c>
      <c r="C24" s="27" t="s">
        <v>256</v>
      </c>
      <c r="D24" s="27" t="s">
        <v>37</v>
      </c>
      <c r="E24" s="27" t="s">
        <v>251</v>
      </c>
      <c r="F24" s="27" t="s">
        <v>16</v>
      </c>
    </row>
    <row r="25" spans="1:6" ht="17" customHeight="1" x14ac:dyDescent="0.35">
      <c r="A25" s="7" t="s">
        <v>281</v>
      </c>
      <c r="B25" s="7" t="s">
        <v>217</v>
      </c>
      <c r="C25" s="7" t="s">
        <v>258</v>
      </c>
      <c r="D25" s="7" t="s">
        <v>58</v>
      </c>
      <c r="E25" s="7" t="s">
        <v>251</v>
      </c>
      <c r="F25" s="7" t="s">
        <v>61</v>
      </c>
    </row>
    <row r="26" spans="1:6" ht="17" customHeight="1" x14ac:dyDescent="0.35">
      <c r="A26" s="7" t="s">
        <v>282</v>
      </c>
      <c r="B26" s="7" t="s">
        <v>217</v>
      </c>
      <c r="C26" s="7" t="s">
        <v>258</v>
      </c>
      <c r="D26" s="7" t="s">
        <v>58</v>
      </c>
      <c r="E26" s="7" t="s">
        <v>251</v>
      </c>
      <c r="F26" s="7" t="s">
        <v>283</v>
      </c>
    </row>
    <row r="27" spans="1:6" ht="17" customHeight="1" x14ac:dyDescent="0.35">
      <c r="A27" s="7" t="s">
        <v>284</v>
      </c>
      <c r="B27" s="7" t="s">
        <v>217</v>
      </c>
      <c r="C27" s="7" t="s">
        <v>258</v>
      </c>
      <c r="D27" s="7" t="s">
        <v>58</v>
      </c>
      <c r="E27" s="7" t="s">
        <v>251</v>
      </c>
      <c r="F27" s="7" t="s">
        <v>283</v>
      </c>
    </row>
    <row r="28" spans="1:6" ht="17" customHeight="1" x14ac:dyDescent="0.35">
      <c r="A28" s="7" t="s">
        <v>281</v>
      </c>
      <c r="B28" s="7" t="s">
        <v>221</v>
      </c>
      <c r="C28" s="7" t="s">
        <v>285</v>
      </c>
      <c r="D28" s="7" t="s">
        <v>58</v>
      </c>
      <c r="E28" s="7" t="s">
        <v>251</v>
      </c>
      <c r="F28" s="7" t="s">
        <v>61</v>
      </c>
    </row>
    <row r="29" spans="1:6" ht="17" customHeight="1" x14ac:dyDescent="0.35">
      <c r="A29" s="7" t="s">
        <v>282</v>
      </c>
      <c r="B29" s="7" t="s">
        <v>221</v>
      </c>
      <c r="C29" s="7" t="s">
        <v>285</v>
      </c>
      <c r="D29" s="7" t="s">
        <v>58</v>
      </c>
      <c r="E29" s="7" t="s">
        <v>251</v>
      </c>
      <c r="F29" s="7" t="s">
        <v>61</v>
      </c>
    </row>
    <row r="30" spans="1:6" ht="17" customHeight="1" x14ac:dyDescent="0.35">
      <c r="A30" s="7" t="s">
        <v>284</v>
      </c>
      <c r="B30" s="7" t="s">
        <v>221</v>
      </c>
      <c r="C30" s="7" t="s">
        <v>285</v>
      </c>
      <c r="D30" s="7" t="s">
        <v>58</v>
      </c>
      <c r="E30" s="7" t="s">
        <v>251</v>
      </c>
      <c r="F30" s="7" t="s">
        <v>61</v>
      </c>
    </row>
    <row r="31" spans="1:6" ht="17" customHeight="1" x14ac:dyDescent="0.35">
      <c r="A31" s="7" t="s">
        <v>263</v>
      </c>
      <c r="B31" s="7" t="s">
        <v>223</v>
      </c>
      <c r="C31" s="19" t="s">
        <v>249</v>
      </c>
      <c r="D31" s="7" t="s">
        <v>37</v>
      </c>
      <c r="E31" s="7" t="s">
        <v>251</v>
      </c>
      <c r="F31" s="7"/>
    </row>
    <row r="32" spans="1:6" ht="17" customHeight="1" x14ac:dyDescent="0.35">
      <c r="A32" s="7" t="s">
        <v>286</v>
      </c>
      <c r="B32" s="7" t="s">
        <v>223</v>
      </c>
      <c r="C32" s="19" t="s">
        <v>253</v>
      </c>
      <c r="D32" s="7" t="s">
        <v>37</v>
      </c>
      <c r="E32" s="7" t="s">
        <v>251</v>
      </c>
      <c r="F32" s="7" t="s">
        <v>287</v>
      </c>
    </row>
    <row r="33" spans="1:6" ht="17" customHeight="1" x14ac:dyDescent="0.35">
      <c r="A33" s="7" t="s">
        <v>288</v>
      </c>
      <c r="B33" s="7" t="s">
        <v>223</v>
      </c>
      <c r="C33" s="19" t="s">
        <v>256</v>
      </c>
      <c r="D33" s="7" t="s">
        <v>37</v>
      </c>
      <c r="E33" s="7" t="s">
        <v>251</v>
      </c>
      <c r="F33" s="7" t="s">
        <v>287</v>
      </c>
    </row>
    <row r="34" spans="1:6" ht="17" customHeight="1" x14ac:dyDescent="0.35">
      <c r="A34" s="7" t="s">
        <v>263</v>
      </c>
      <c r="B34" s="7" t="s">
        <v>226</v>
      </c>
      <c r="C34" s="7" t="s">
        <v>77</v>
      </c>
      <c r="D34" s="7" t="s">
        <v>37</v>
      </c>
      <c r="E34" s="7" t="s">
        <v>251</v>
      </c>
      <c r="F34" s="7" t="s">
        <v>49</v>
      </c>
    </row>
    <row r="35" spans="1:6" ht="17" customHeight="1" x14ac:dyDescent="0.35">
      <c r="A35" s="7" t="s">
        <v>286</v>
      </c>
      <c r="B35" s="7" t="s">
        <v>226</v>
      </c>
      <c r="C35" s="7" t="s">
        <v>289</v>
      </c>
      <c r="D35" s="7" t="s">
        <v>37</v>
      </c>
      <c r="E35" s="7" t="s">
        <v>251</v>
      </c>
      <c r="F35" s="7" t="s">
        <v>290</v>
      </c>
    </row>
    <row r="36" spans="1:6" ht="17" customHeight="1" x14ac:dyDescent="0.35">
      <c r="A36" s="7" t="s">
        <v>288</v>
      </c>
      <c r="B36" s="7" t="s">
        <v>226</v>
      </c>
      <c r="C36" s="7" t="s">
        <v>291</v>
      </c>
      <c r="D36" s="7" t="s">
        <v>37</v>
      </c>
      <c r="E36" s="7" t="s">
        <v>251</v>
      </c>
      <c r="F36" s="7" t="s">
        <v>290</v>
      </c>
    </row>
    <row r="37" spans="1:6" ht="17" customHeight="1" x14ac:dyDescent="0.35">
      <c r="A37" s="7" t="s">
        <v>263</v>
      </c>
      <c r="B37" s="7" t="s">
        <v>47</v>
      </c>
      <c r="C37" s="7" t="b">
        <v>1</v>
      </c>
      <c r="D37" s="7" t="s">
        <v>37</v>
      </c>
      <c r="E37" s="7" t="s">
        <v>292</v>
      </c>
      <c r="F37" s="7" t="s">
        <v>293</v>
      </c>
    </row>
    <row r="38" spans="1:6" ht="17" customHeight="1" x14ac:dyDescent="0.35">
      <c r="A38" s="7" t="s">
        <v>263</v>
      </c>
      <c r="B38" s="7" t="s">
        <v>50</v>
      </c>
      <c r="C38" s="7" t="b">
        <v>1</v>
      </c>
      <c r="D38" s="7" t="s">
        <v>37</v>
      </c>
      <c r="E38" s="7" t="s">
        <v>292</v>
      </c>
      <c r="F38" s="7" t="s">
        <v>293</v>
      </c>
    </row>
    <row r="39" spans="1:6" ht="17" customHeight="1" x14ac:dyDescent="0.35">
      <c r="A39" s="7" t="s">
        <v>258</v>
      </c>
      <c r="B39" s="7" t="s">
        <v>228</v>
      </c>
      <c r="C39" s="7" t="s">
        <v>294</v>
      </c>
      <c r="D39" s="7" t="s">
        <v>21</v>
      </c>
      <c r="E39" s="7" t="s">
        <v>251</v>
      </c>
      <c r="F39" s="7"/>
    </row>
    <row r="40" spans="1:6" ht="17" customHeight="1" x14ac:dyDescent="0.35">
      <c r="A40" s="7" t="s">
        <v>260</v>
      </c>
      <c r="B40" s="7" t="s">
        <v>228</v>
      </c>
      <c r="C40" s="7" t="s">
        <v>295</v>
      </c>
      <c r="D40" s="7" t="s">
        <v>21</v>
      </c>
      <c r="E40" s="7" t="s">
        <v>251</v>
      </c>
      <c r="F40" s="7" t="s">
        <v>296</v>
      </c>
    </row>
    <row r="41" spans="1:6" ht="17" customHeight="1" x14ac:dyDescent="0.35">
      <c r="A41" s="7" t="s">
        <v>262</v>
      </c>
      <c r="B41" s="7" t="s">
        <v>228</v>
      </c>
      <c r="C41" s="7" t="s">
        <v>297</v>
      </c>
      <c r="D41" s="7" t="s">
        <v>21</v>
      </c>
      <c r="E41" s="7" t="s">
        <v>251</v>
      </c>
      <c r="F41" s="7" t="s">
        <v>296</v>
      </c>
    </row>
    <row r="42" spans="1:6" ht="17" customHeight="1" x14ac:dyDescent="0.35">
      <c r="A42" s="7" t="s">
        <v>298</v>
      </c>
      <c r="B42" s="7" t="s">
        <v>230</v>
      </c>
      <c r="C42" s="7" t="s">
        <v>294</v>
      </c>
      <c r="D42" s="7" t="s">
        <v>37</v>
      </c>
      <c r="E42" s="7" t="s">
        <v>251</v>
      </c>
      <c r="F42" s="7" t="s">
        <v>299</v>
      </c>
    </row>
    <row r="43" spans="1:6" ht="17" customHeight="1" x14ac:dyDescent="0.35">
      <c r="A43" s="7" t="s">
        <v>300</v>
      </c>
      <c r="B43" s="7" t="s">
        <v>230</v>
      </c>
      <c r="C43" s="7" t="s">
        <v>295</v>
      </c>
      <c r="D43" s="7" t="s">
        <v>37</v>
      </c>
      <c r="E43" s="7" t="s">
        <v>251</v>
      </c>
      <c r="F43" s="7" t="s">
        <v>301</v>
      </c>
    </row>
    <row r="44" spans="1:6" ht="17" customHeight="1" x14ac:dyDescent="0.35">
      <c r="A44" s="7" t="s">
        <v>302</v>
      </c>
      <c r="B44" s="7" t="s">
        <v>230</v>
      </c>
      <c r="C44" s="7" t="s">
        <v>297</v>
      </c>
      <c r="D44" s="7" t="s">
        <v>37</v>
      </c>
      <c r="E44" s="7" t="s">
        <v>251</v>
      </c>
      <c r="F44" s="7" t="s">
        <v>301</v>
      </c>
    </row>
    <row r="45" spans="1:6" ht="17" customHeight="1" x14ac:dyDescent="0.35">
      <c r="A45" s="7" t="s">
        <v>298</v>
      </c>
      <c r="B45" s="7" t="s">
        <v>232</v>
      </c>
      <c r="C45" s="7" t="s">
        <v>303</v>
      </c>
      <c r="D45" s="7" t="s">
        <v>37</v>
      </c>
      <c r="E45" s="7" t="s">
        <v>251</v>
      </c>
      <c r="F45" s="7" t="s">
        <v>82</v>
      </c>
    </row>
    <row r="46" spans="1:6" ht="17" customHeight="1" x14ac:dyDescent="0.35">
      <c r="A46" s="7" t="s">
        <v>300</v>
      </c>
      <c r="B46" s="7" t="s">
        <v>232</v>
      </c>
      <c r="C46" s="27" t="s">
        <v>303</v>
      </c>
      <c r="D46" s="7" t="s">
        <v>37</v>
      </c>
      <c r="E46" s="7" t="s">
        <v>251</v>
      </c>
      <c r="F46" s="7" t="s">
        <v>304</v>
      </c>
    </row>
    <row r="47" spans="1:6" ht="17" customHeight="1" x14ac:dyDescent="0.35">
      <c r="A47" s="7" t="s">
        <v>302</v>
      </c>
      <c r="B47" s="7" t="s">
        <v>232</v>
      </c>
      <c r="C47" s="7" t="s">
        <v>305</v>
      </c>
      <c r="D47" s="7" t="s">
        <v>37</v>
      </c>
      <c r="E47" s="7" t="s">
        <v>251</v>
      </c>
      <c r="F47" s="7"/>
    </row>
    <row r="48" spans="1:6" ht="17" customHeight="1" x14ac:dyDescent="0.35">
      <c r="A48" s="7" t="s">
        <v>298</v>
      </c>
      <c r="B48" s="7" t="s">
        <v>223</v>
      </c>
      <c r="C48" s="19" t="s">
        <v>250</v>
      </c>
      <c r="D48" s="7" t="s">
        <v>37</v>
      </c>
      <c r="E48" s="7" t="s">
        <v>251</v>
      </c>
      <c r="F48" s="7" t="s">
        <v>306</v>
      </c>
    </row>
    <row r="49" spans="1:6" ht="17" customHeight="1" x14ac:dyDescent="0.35">
      <c r="A49" s="7" t="s">
        <v>300</v>
      </c>
      <c r="B49" s="7" t="s">
        <v>223</v>
      </c>
      <c r="C49" s="19" t="s">
        <v>254</v>
      </c>
      <c r="D49" s="7" t="s">
        <v>37</v>
      </c>
      <c r="E49" s="7" t="s">
        <v>251</v>
      </c>
      <c r="F49" s="7" t="s">
        <v>307</v>
      </c>
    </row>
    <row r="50" spans="1:6" ht="17" customHeight="1" x14ac:dyDescent="0.35">
      <c r="A50" s="7" t="s">
        <v>302</v>
      </c>
      <c r="B50" s="7" t="s">
        <v>223</v>
      </c>
      <c r="C50" s="19" t="s">
        <v>257</v>
      </c>
      <c r="D50" s="7" t="s">
        <v>37</v>
      </c>
      <c r="E50" s="7" t="s">
        <v>251</v>
      </c>
      <c r="F50" s="7" t="s">
        <v>307</v>
      </c>
    </row>
    <row r="51" spans="1:6" ht="17" customHeight="1" x14ac:dyDescent="0.35">
      <c r="A51" s="7" t="s">
        <v>298</v>
      </c>
      <c r="B51" s="7" t="s">
        <v>41</v>
      </c>
      <c r="C51" s="20">
        <v>46235</v>
      </c>
      <c r="D51" s="7" t="s">
        <v>37</v>
      </c>
      <c r="E51" s="7" t="s">
        <v>292</v>
      </c>
      <c r="F51" s="7" t="s">
        <v>308</v>
      </c>
    </row>
    <row r="52" spans="1:6" ht="17" customHeight="1" x14ac:dyDescent="0.35">
      <c r="A52" s="7" t="s">
        <v>300</v>
      </c>
      <c r="B52" s="7" t="s">
        <v>41</v>
      </c>
      <c r="C52" s="20">
        <v>46188</v>
      </c>
      <c r="D52" s="7" t="s">
        <v>37</v>
      </c>
      <c r="E52" s="7" t="s">
        <v>292</v>
      </c>
      <c r="F52" s="7" t="s">
        <v>309</v>
      </c>
    </row>
    <row r="53" spans="1:6" ht="17" customHeight="1" x14ac:dyDescent="0.35">
      <c r="A53" s="7" t="s">
        <v>302</v>
      </c>
      <c r="B53" s="7" t="s">
        <v>41</v>
      </c>
      <c r="C53" s="20">
        <v>46132</v>
      </c>
      <c r="D53" s="7" t="s">
        <v>37</v>
      </c>
      <c r="E53" s="7" t="s">
        <v>292</v>
      </c>
      <c r="F53" s="7" t="s">
        <v>309</v>
      </c>
    </row>
    <row r="54" spans="1:6" ht="17" customHeight="1" x14ac:dyDescent="0.35">
      <c r="A54" s="7" t="s">
        <v>298</v>
      </c>
      <c r="B54" s="27" t="s">
        <v>53</v>
      </c>
      <c r="C54" s="7" t="b">
        <v>1</v>
      </c>
      <c r="D54" s="7" t="s">
        <v>37</v>
      </c>
      <c r="E54" s="7" t="s">
        <v>292</v>
      </c>
      <c r="F54" s="7" t="s">
        <v>310</v>
      </c>
    </row>
    <row r="55" spans="1:6" ht="17" customHeight="1" x14ac:dyDescent="0.35">
      <c r="A55" s="7" t="s">
        <v>300</v>
      </c>
      <c r="B55" s="27" t="s">
        <v>53</v>
      </c>
      <c r="C55" s="7" t="b">
        <v>1</v>
      </c>
      <c r="D55" s="7" t="s">
        <v>37</v>
      </c>
      <c r="E55" s="7" t="s">
        <v>292</v>
      </c>
      <c r="F55" s="7" t="s">
        <v>43</v>
      </c>
    </row>
    <row r="56" spans="1:6" ht="17" customHeight="1" x14ac:dyDescent="0.35">
      <c r="A56" s="7" t="s">
        <v>302</v>
      </c>
      <c r="B56" s="27" t="s">
        <v>53</v>
      </c>
      <c r="C56" s="7" t="b">
        <v>0</v>
      </c>
      <c r="D56" s="7" t="s">
        <v>37</v>
      </c>
      <c r="E56" s="7" t="s">
        <v>292</v>
      </c>
      <c r="F56" s="7" t="s">
        <v>43</v>
      </c>
    </row>
    <row r="57" spans="1:6" ht="17" customHeight="1" x14ac:dyDescent="0.35">
      <c r="A57" s="7" t="s">
        <v>311</v>
      </c>
      <c r="B57" s="7" t="s">
        <v>223</v>
      </c>
      <c r="C57" s="19" t="s">
        <v>250</v>
      </c>
      <c r="D57" s="7" t="s">
        <v>37</v>
      </c>
      <c r="E57" s="7" t="s">
        <v>251</v>
      </c>
      <c r="F57" s="7" t="s">
        <v>126</v>
      </c>
    </row>
    <row r="58" spans="1:6" ht="17" customHeight="1" x14ac:dyDescent="0.35">
      <c r="A58" s="7" t="s">
        <v>312</v>
      </c>
      <c r="B58" s="7" t="s">
        <v>223</v>
      </c>
      <c r="C58" s="19" t="s">
        <v>254</v>
      </c>
      <c r="D58" s="7" t="s">
        <v>37</v>
      </c>
      <c r="E58" s="7" t="s">
        <v>251</v>
      </c>
      <c r="F58" s="7" t="s">
        <v>313</v>
      </c>
    </row>
    <row r="59" spans="1:6" ht="17" customHeight="1" x14ac:dyDescent="0.35">
      <c r="A59" s="7" t="s">
        <v>314</v>
      </c>
      <c r="B59" s="7" t="s">
        <v>223</v>
      </c>
      <c r="C59" s="19" t="s">
        <v>257</v>
      </c>
      <c r="D59" s="7" t="s">
        <v>37</v>
      </c>
      <c r="E59" s="7" t="s">
        <v>251</v>
      </c>
      <c r="F59" s="7" t="s">
        <v>313</v>
      </c>
    </row>
    <row r="60" spans="1:6" ht="17" customHeight="1" x14ac:dyDescent="0.35">
      <c r="A60" s="7" t="s">
        <v>311</v>
      </c>
      <c r="B60" s="7" t="s">
        <v>213</v>
      </c>
      <c r="C60" s="7" t="s">
        <v>258</v>
      </c>
      <c r="D60" s="7" t="s">
        <v>37</v>
      </c>
      <c r="E60" s="7" t="s">
        <v>251</v>
      </c>
      <c r="F60" s="7" t="s">
        <v>315</v>
      </c>
    </row>
    <row r="61" spans="1:6" ht="17" customHeight="1" x14ac:dyDescent="0.35">
      <c r="A61" s="7" t="s">
        <v>312</v>
      </c>
      <c r="B61" s="7" t="s">
        <v>213</v>
      </c>
      <c r="C61" s="7" t="s">
        <v>258</v>
      </c>
      <c r="D61" s="7" t="s">
        <v>37</v>
      </c>
      <c r="E61" s="7" t="s">
        <v>251</v>
      </c>
      <c r="F61" s="7" t="s">
        <v>126</v>
      </c>
    </row>
    <row r="62" spans="1:6" ht="17" customHeight="1" x14ac:dyDescent="0.35">
      <c r="A62" s="7" t="s">
        <v>314</v>
      </c>
      <c r="B62" s="7" t="s">
        <v>213</v>
      </c>
      <c r="C62" s="7" t="s">
        <v>258</v>
      </c>
      <c r="D62" s="7" t="s">
        <v>37</v>
      </c>
      <c r="E62" s="7" t="s">
        <v>251</v>
      </c>
      <c r="F62" s="7" t="s">
        <v>315</v>
      </c>
    </row>
    <row r="63" spans="1:6" ht="17" customHeight="1" x14ac:dyDescent="0.35">
      <c r="A63" s="7" t="s">
        <v>311</v>
      </c>
      <c r="B63" s="7" t="s">
        <v>233</v>
      </c>
      <c r="C63" s="7" t="s">
        <v>73</v>
      </c>
      <c r="D63" s="7" t="s">
        <v>37</v>
      </c>
      <c r="E63" s="7" t="s">
        <v>251</v>
      </c>
      <c r="F63" s="7" t="s">
        <v>315</v>
      </c>
    </row>
    <row r="64" spans="1:6" ht="17" customHeight="1" x14ac:dyDescent="0.35">
      <c r="A64" s="7" t="s">
        <v>312</v>
      </c>
      <c r="B64" s="7" t="s">
        <v>233</v>
      </c>
      <c r="C64" s="7" t="s">
        <v>316</v>
      </c>
      <c r="D64" s="7" t="s">
        <v>37</v>
      </c>
      <c r="E64" s="7" t="s">
        <v>251</v>
      </c>
      <c r="F64" s="7" t="s">
        <v>317</v>
      </c>
    </row>
    <row r="65" spans="1:6" ht="17" customHeight="1" x14ac:dyDescent="0.35">
      <c r="A65" s="7" t="s">
        <v>314</v>
      </c>
      <c r="B65" s="7" t="s">
        <v>233</v>
      </c>
      <c r="C65" s="7" t="s">
        <v>318</v>
      </c>
      <c r="D65" s="7" t="s">
        <v>37</v>
      </c>
      <c r="E65" s="7" t="s">
        <v>251</v>
      </c>
      <c r="F65" s="7" t="s">
        <v>317</v>
      </c>
    </row>
    <row r="66" spans="1:6" ht="17" customHeight="1" x14ac:dyDescent="0.35">
      <c r="A66" s="7" t="s">
        <v>319</v>
      </c>
      <c r="B66" s="7" t="s">
        <v>221</v>
      </c>
      <c r="C66" s="7" t="s">
        <v>69</v>
      </c>
      <c r="D66" s="7" t="s">
        <v>91</v>
      </c>
      <c r="E66" s="7" t="s">
        <v>251</v>
      </c>
      <c r="F66" s="7" t="s">
        <v>320</v>
      </c>
    </row>
    <row r="67" spans="1:6" ht="17" customHeight="1" x14ac:dyDescent="0.35">
      <c r="A67" s="19" t="s">
        <v>250</v>
      </c>
      <c r="B67" s="7" t="s">
        <v>221</v>
      </c>
      <c r="C67" s="7" t="s">
        <v>285</v>
      </c>
      <c r="D67" s="7" t="s">
        <v>91</v>
      </c>
      <c r="E67" s="7" t="s">
        <v>251</v>
      </c>
      <c r="F67" s="7" t="s">
        <v>321</v>
      </c>
    </row>
    <row r="68" spans="1:6" ht="17" customHeight="1" x14ac:dyDescent="0.35">
      <c r="A68" s="19" t="s">
        <v>257</v>
      </c>
      <c r="B68" s="7" t="s">
        <v>221</v>
      </c>
      <c r="C68" s="7" t="s">
        <v>69</v>
      </c>
      <c r="D68" s="7" t="s">
        <v>91</v>
      </c>
      <c r="E68" s="7" t="s">
        <v>251</v>
      </c>
      <c r="F68" s="7" t="s">
        <v>321</v>
      </c>
    </row>
    <row r="69" spans="1:6" ht="17" customHeight="1" x14ac:dyDescent="0.35">
      <c r="A69" s="7" t="s">
        <v>322</v>
      </c>
      <c r="B69" s="7" t="s">
        <v>221</v>
      </c>
      <c r="C69" s="7" t="s">
        <v>69</v>
      </c>
      <c r="D69" s="7" t="s">
        <v>64</v>
      </c>
      <c r="E69" s="7" t="s">
        <v>251</v>
      </c>
      <c r="F69" s="7" t="s">
        <v>20</v>
      </c>
    </row>
    <row r="70" spans="1:6" ht="17" customHeight="1" x14ac:dyDescent="0.35">
      <c r="A70" s="7" t="s">
        <v>323</v>
      </c>
      <c r="B70" s="7" t="s">
        <v>221</v>
      </c>
      <c r="C70" s="7" t="s">
        <v>285</v>
      </c>
      <c r="D70" s="7" t="s">
        <v>64</v>
      </c>
      <c r="E70" s="7" t="s">
        <v>251</v>
      </c>
      <c r="F70" s="7" t="s">
        <v>324</v>
      </c>
    </row>
    <row r="71" spans="1:6" ht="17" customHeight="1" x14ac:dyDescent="0.35">
      <c r="A71" s="7" t="s">
        <v>325</v>
      </c>
      <c r="B71" s="7" t="s">
        <v>221</v>
      </c>
      <c r="C71" s="7" t="s">
        <v>326</v>
      </c>
      <c r="D71" s="7" t="s">
        <v>64</v>
      </c>
      <c r="E71" s="7" t="s">
        <v>251</v>
      </c>
      <c r="F71" s="7" t="s">
        <v>324</v>
      </c>
    </row>
    <row r="72" spans="1:6" ht="17" customHeight="1" x14ac:dyDescent="0.35">
      <c r="A72" s="7" t="s">
        <v>322</v>
      </c>
      <c r="B72" s="7" t="s">
        <v>235</v>
      </c>
      <c r="C72" s="7" t="s">
        <v>327</v>
      </c>
      <c r="D72" s="7" t="s">
        <v>64</v>
      </c>
      <c r="E72" s="7" t="s">
        <v>251</v>
      </c>
      <c r="F72" s="7" t="s">
        <v>20</v>
      </c>
    </row>
    <row r="73" spans="1:6" ht="17" customHeight="1" x14ac:dyDescent="0.35">
      <c r="A73" s="7" t="s">
        <v>323</v>
      </c>
      <c r="B73" s="7" t="s">
        <v>235</v>
      </c>
      <c r="C73" s="7" t="s">
        <v>328</v>
      </c>
      <c r="D73" s="7" t="s">
        <v>64</v>
      </c>
      <c r="E73" s="7" t="s">
        <v>251</v>
      </c>
      <c r="F73" s="7" t="s">
        <v>329</v>
      </c>
    </row>
    <row r="74" spans="1:6" ht="17" customHeight="1" x14ac:dyDescent="0.35">
      <c r="A74" s="7" t="s">
        <v>325</v>
      </c>
      <c r="B74" s="7" t="s">
        <v>235</v>
      </c>
      <c r="C74" s="7" t="s">
        <v>330</v>
      </c>
      <c r="D74" s="7" t="s">
        <v>64</v>
      </c>
      <c r="E74" s="7" t="s">
        <v>251</v>
      </c>
      <c r="F74" s="7" t="s">
        <v>329</v>
      </c>
    </row>
    <row r="75" spans="1:6" ht="17" customHeight="1" x14ac:dyDescent="0.35">
      <c r="A75" s="7" t="s">
        <v>327</v>
      </c>
      <c r="B75" s="7" t="s">
        <v>236</v>
      </c>
      <c r="C75" s="7" t="s">
        <v>73</v>
      </c>
      <c r="D75" s="7" t="s">
        <v>17</v>
      </c>
      <c r="E75" s="7" t="s">
        <v>251</v>
      </c>
      <c r="F75" s="7" t="s">
        <v>20</v>
      </c>
    </row>
    <row r="76" spans="1:6" ht="17" customHeight="1" x14ac:dyDescent="0.35">
      <c r="A76" s="7" t="s">
        <v>328</v>
      </c>
      <c r="B76" s="7" t="s">
        <v>236</v>
      </c>
      <c r="C76" s="7" t="s">
        <v>316</v>
      </c>
      <c r="D76" s="7" t="s">
        <v>17</v>
      </c>
      <c r="E76" s="7" t="s">
        <v>251</v>
      </c>
      <c r="F76" s="7" t="s">
        <v>331</v>
      </c>
    </row>
    <row r="77" spans="1:6" ht="17" customHeight="1" x14ac:dyDescent="0.35">
      <c r="A77" s="7" t="s">
        <v>330</v>
      </c>
      <c r="B77" s="7" t="s">
        <v>236</v>
      </c>
      <c r="C77" s="7" t="s">
        <v>318</v>
      </c>
      <c r="D77" s="7" t="s">
        <v>17</v>
      </c>
      <c r="E77" s="7" t="s">
        <v>251</v>
      </c>
      <c r="F77" s="7" t="s">
        <v>331</v>
      </c>
    </row>
    <row r="78" spans="1:6" ht="17" customHeight="1" x14ac:dyDescent="0.35">
      <c r="A78" s="27" t="s">
        <v>281</v>
      </c>
      <c r="B78" s="27" t="s">
        <v>62</v>
      </c>
      <c r="C78" s="27" t="s">
        <v>63</v>
      </c>
      <c r="D78" s="27" t="s">
        <v>58</v>
      </c>
      <c r="E78" s="27" t="s">
        <v>292</v>
      </c>
      <c r="F78" s="27" t="s">
        <v>61</v>
      </c>
    </row>
    <row r="79" spans="1:6" ht="17" customHeight="1" x14ac:dyDescent="0.35">
      <c r="A79" s="27" t="s">
        <v>282</v>
      </c>
      <c r="B79" s="27" t="s">
        <v>62</v>
      </c>
      <c r="C79" s="27" t="s">
        <v>332</v>
      </c>
      <c r="D79" s="27" t="s">
        <v>58</v>
      </c>
      <c r="E79" s="27" t="s">
        <v>292</v>
      </c>
      <c r="F79" s="27" t="s">
        <v>61</v>
      </c>
    </row>
    <row r="80" spans="1:6" ht="17" customHeight="1" x14ac:dyDescent="0.35">
      <c r="A80" s="27" t="s">
        <v>284</v>
      </c>
      <c r="B80" s="27" t="s">
        <v>62</v>
      </c>
      <c r="C80" s="27" t="s">
        <v>333</v>
      </c>
      <c r="D80" s="27" t="s">
        <v>58</v>
      </c>
      <c r="E80" s="27" t="s">
        <v>292</v>
      </c>
      <c r="F80" s="27" t="s">
        <v>61</v>
      </c>
    </row>
    <row r="81" spans="1:6" ht="17" customHeight="1" x14ac:dyDescent="0.35">
      <c r="A81" s="27" t="s">
        <v>286</v>
      </c>
      <c r="B81" s="27" t="s">
        <v>50</v>
      </c>
      <c r="C81" s="27" t="b">
        <v>1</v>
      </c>
      <c r="D81" s="27" t="s">
        <v>37</v>
      </c>
      <c r="E81" s="27" t="s">
        <v>292</v>
      </c>
      <c r="F81" s="27" t="s">
        <v>49</v>
      </c>
    </row>
    <row r="82" spans="1:6" ht="17" customHeight="1" x14ac:dyDescent="0.35">
      <c r="A82" s="27" t="s">
        <v>311</v>
      </c>
      <c r="B82" s="27" t="s">
        <v>41</v>
      </c>
      <c r="C82" s="30">
        <v>46235</v>
      </c>
      <c r="D82" s="27" t="s">
        <v>37</v>
      </c>
      <c r="E82" s="27" t="s">
        <v>292</v>
      </c>
      <c r="F82" s="27" t="s">
        <v>43</v>
      </c>
    </row>
    <row r="83" spans="1:6" ht="17" customHeight="1" x14ac:dyDescent="0.35">
      <c r="A83" s="27" t="s">
        <v>311</v>
      </c>
      <c r="B83" s="27" t="s">
        <v>53</v>
      </c>
      <c r="C83" s="27" t="b">
        <v>1</v>
      </c>
      <c r="D83" s="27" t="s">
        <v>37</v>
      </c>
      <c r="E83" s="27" t="s">
        <v>292</v>
      </c>
      <c r="F83" s="27" t="s">
        <v>43</v>
      </c>
    </row>
    <row r="84" spans="1:6" ht="17" customHeight="1" x14ac:dyDescent="0.35">
      <c r="A84" s="27" t="s">
        <v>312</v>
      </c>
      <c r="B84" s="27" t="s">
        <v>41</v>
      </c>
      <c r="C84" s="30">
        <v>46188</v>
      </c>
      <c r="D84" s="27" t="s">
        <v>37</v>
      </c>
      <c r="E84" s="27" t="s">
        <v>292</v>
      </c>
      <c r="F84" s="27" t="s">
        <v>43</v>
      </c>
    </row>
    <row r="85" spans="1:6" ht="17" customHeight="1" x14ac:dyDescent="0.35">
      <c r="A85" s="27" t="s">
        <v>312</v>
      </c>
      <c r="B85" s="27" t="s">
        <v>53</v>
      </c>
      <c r="C85" s="27" t="b">
        <v>1</v>
      </c>
      <c r="D85" s="27" t="s">
        <v>37</v>
      </c>
      <c r="E85" s="27" t="s">
        <v>292</v>
      </c>
      <c r="F85" s="27" t="s">
        <v>43</v>
      </c>
    </row>
    <row r="86" spans="1:6" ht="17" customHeight="1" x14ac:dyDescent="0.35">
      <c r="A86" s="27" t="s">
        <v>314</v>
      </c>
      <c r="B86" s="27" t="s">
        <v>41</v>
      </c>
      <c r="C86" s="30">
        <v>46132</v>
      </c>
      <c r="D86" s="27" t="s">
        <v>37</v>
      </c>
      <c r="E86" s="27" t="s">
        <v>292</v>
      </c>
      <c r="F86" s="27" t="s">
        <v>43</v>
      </c>
    </row>
    <row r="87" spans="1:6" ht="17" customHeight="1" x14ac:dyDescent="0.35">
      <c r="A87" s="27" t="s">
        <v>314</v>
      </c>
      <c r="B87" s="27" t="s">
        <v>53</v>
      </c>
      <c r="C87" s="27" t="b">
        <v>0</v>
      </c>
      <c r="D87" s="27" t="s">
        <v>37</v>
      </c>
      <c r="E87" s="27" t="s">
        <v>292</v>
      </c>
      <c r="F87" s="27" t="s">
        <v>43</v>
      </c>
    </row>
    <row r="88" spans="1:6" ht="31" customHeight="1" x14ac:dyDescent="0.35">
      <c r="A88" s="27" t="s">
        <v>334</v>
      </c>
      <c r="B88" s="27" t="s">
        <v>213</v>
      </c>
      <c r="C88" s="27" t="s">
        <v>294</v>
      </c>
      <c r="D88" s="27" t="s">
        <v>183</v>
      </c>
      <c r="E88" s="27" t="s">
        <v>251</v>
      </c>
      <c r="F88" s="27" t="s">
        <v>132</v>
      </c>
    </row>
    <row r="89" spans="1:6" ht="31" customHeight="1" x14ac:dyDescent="0.35">
      <c r="A89" s="27" t="s">
        <v>334</v>
      </c>
      <c r="B89" s="27" t="s">
        <v>213</v>
      </c>
      <c r="C89" s="27" t="s">
        <v>295</v>
      </c>
      <c r="D89" s="27" t="s">
        <v>183</v>
      </c>
      <c r="E89" s="27" t="s">
        <v>251</v>
      </c>
      <c r="F89" s="27" t="s">
        <v>132</v>
      </c>
    </row>
    <row r="90" spans="1:6" ht="31" customHeight="1" x14ac:dyDescent="0.35">
      <c r="A90" s="27" t="s">
        <v>334</v>
      </c>
      <c r="B90" s="27" t="s">
        <v>213</v>
      </c>
      <c r="C90" s="27" t="s">
        <v>297</v>
      </c>
      <c r="D90" s="27" t="s">
        <v>183</v>
      </c>
      <c r="E90" s="27" t="s">
        <v>251</v>
      </c>
      <c r="F90" s="27" t="s">
        <v>132</v>
      </c>
    </row>
    <row r="91" spans="1:6" ht="31" customHeight="1" x14ac:dyDescent="0.35">
      <c r="A91" s="27" t="s">
        <v>334</v>
      </c>
      <c r="B91" s="27" t="s">
        <v>213</v>
      </c>
      <c r="C91" s="27" t="s">
        <v>277</v>
      </c>
      <c r="D91" s="27" t="s">
        <v>183</v>
      </c>
      <c r="E91" s="27" t="s">
        <v>251</v>
      </c>
      <c r="F91" s="27" t="s">
        <v>335</v>
      </c>
    </row>
    <row r="92" spans="1:6" ht="31" customHeight="1" x14ac:dyDescent="0.35">
      <c r="A92" s="27" t="s">
        <v>334</v>
      </c>
      <c r="B92" s="27" t="s">
        <v>223</v>
      </c>
      <c r="C92" s="27" t="s">
        <v>249</v>
      </c>
      <c r="D92" s="27" t="s">
        <v>183</v>
      </c>
      <c r="E92" s="27" t="s">
        <v>251</v>
      </c>
      <c r="F92" s="27" t="s">
        <v>336</v>
      </c>
    </row>
    <row r="93" spans="1:6" ht="31" customHeight="1" x14ac:dyDescent="0.35">
      <c r="A93" s="27" t="s">
        <v>334</v>
      </c>
      <c r="B93" s="27" t="s">
        <v>232</v>
      </c>
      <c r="C93" s="27" t="s">
        <v>303</v>
      </c>
      <c r="D93" s="27" t="s">
        <v>183</v>
      </c>
      <c r="E93" s="27" t="s">
        <v>251</v>
      </c>
      <c r="F93" s="27" t="s">
        <v>132</v>
      </c>
    </row>
    <row r="94" spans="1:6" ht="31" customHeight="1" x14ac:dyDescent="0.35">
      <c r="A94" s="27" t="s">
        <v>334</v>
      </c>
      <c r="B94" s="27" t="s">
        <v>41</v>
      </c>
      <c r="C94" s="32" t="s">
        <v>337</v>
      </c>
      <c r="D94" s="27" t="s">
        <v>183</v>
      </c>
      <c r="E94" s="27" t="s">
        <v>292</v>
      </c>
      <c r="F94" s="27" t="s">
        <v>132</v>
      </c>
    </row>
    <row r="95" spans="1:6" ht="31" customHeight="1" x14ac:dyDescent="0.35">
      <c r="A95" s="27" t="s">
        <v>334</v>
      </c>
      <c r="B95" s="27" t="s">
        <v>53</v>
      </c>
      <c r="C95" s="27" t="b">
        <v>1</v>
      </c>
      <c r="D95" s="27" t="s">
        <v>183</v>
      </c>
      <c r="E95" s="27" t="s">
        <v>292</v>
      </c>
      <c r="F95" s="27" t="s">
        <v>132</v>
      </c>
    </row>
    <row r="96" spans="1:6" ht="31" customHeight="1" x14ac:dyDescent="0.35">
      <c r="A96" s="27" t="s">
        <v>338</v>
      </c>
      <c r="B96" s="27" t="s">
        <v>213</v>
      </c>
      <c r="C96" s="27" t="s">
        <v>294</v>
      </c>
      <c r="D96" s="27" t="s">
        <v>183</v>
      </c>
      <c r="E96" s="27" t="s">
        <v>251</v>
      </c>
      <c r="F96" s="27" t="s">
        <v>339</v>
      </c>
    </row>
    <row r="97" spans="1:6" ht="31" customHeight="1" x14ac:dyDescent="0.35">
      <c r="A97" s="27" t="s">
        <v>338</v>
      </c>
      <c r="B97" s="27" t="s">
        <v>213</v>
      </c>
      <c r="C97" s="27" t="s">
        <v>268</v>
      </c>
      <c r="D97" s="27" t="s">
        <v>183</v>
      </c>
      <c r="E97" s="27" t="s">
        <v>251</v>
      </c>
      <c r="F97" s="27" t="s">
        <v>339</v>
      </c>
    </row>
    <row r="98" spans="1:6" ht="31" customHeight="1" x14ac:dyDescent="0.35">
      <c r="A98" s="27" t="s">
        <v>338</v>
      </c>
      <c r="B98" s="27" t="s">
        <v>223</v>
      </c>
      <c r="C98" s="27" t="s">
        <v>249</v>
      </c>
      <c r="D98" s="27" t="s">
        <v>183</v>
      </c>
      <c r="E98" s="27" t="s">
        <v>251</v>
      </c>
      <c r="F98" s="27" t="s">
        <v>132</v>
      </c>
    </row>
    <row r="99" spans="1:6" ht="31" customHeight="1" x14ac:dyDescent="0.35">
      <c r="A99" s="27" t="s">
        <v>338</v>
      </c>
      <c r="B99" s="27" t="s">
        <v>41</v>
      </c>
      <c r="C99" s="27" t="s">
        <v>340</v>
      </c>
      <c r="D99" s="27" t="s">
        <v>183</v>
      </c>
      <c r="E99" s="27" t="s">
        <v>292</v>
      </c>
      <c r="F99" s="27" t="s">
        <v>132</v>
      </c>
    </row>
    <row r="100" spans="1:6" ht="15.5" x14ac:dyDescent="0.35">
      <c r="A100" s="27" t="s">
        <v>281</v>
      </c>
      <c r="B100" s="27" t="s">
        <v>83</v>
      </c>
      <c r="C100" s="27" t="b">
        <v>1</v>
      </c>
      <c r="D100" s="27" t="s">
        <v>58</v>
      </c>
      <c r="E100" s="27" t="s">
        <v>292</v>
      </c>
      <c r="F100" s="27" t="s">
        <v>341</v>
      </c>
    </row>
    <row r="101" spans="1:6" ht="46.5" x14ac:dyDescent="0.35">
      <c r="A101" s="27" t="s">
        <v>281</v>
      </c>
      <c r="B101" s="27" t="s">
        <v>84</v>
      </c>
      <c r="C101" s="27" t="s">
        <v>85</v>
      </c>
      <c r="D101" s="27" t="s">
        <v>58</v>
      </c>
      <c r="E101" s="27" t="s">
        <v>292</v>
      </c>
      <c r="F101" s="27" t="s">
        <v>342</v>
      </c>
    </row>
    <row r="102" spans="1:6" ht="31" x14ac:dyDescent="0.35">
      <c r="A102" s="27" t="s">
        <v>281</v>
      </c>
      <c r="B102" s="27" t="s">
        <v>86</v>
      </c>
      <c r="C102" s="27">
        <v>12.5</v>
      </c>
      <c r="D102" s="27" t="s">
        <v>58</v>
      </c>
      <c r="E102" s="27" t="s">
        <v>292</v>
      </c>
      <c r="F102" s="27" t="s">
        <v>343</v>
      </c>
    </row>
    <row r="103" spans="1:6" ht="15.5" x14ac:dyDescent="0.35">
      <c r="A103" s="27" t="s">
        <v>282</v>
      </c>
      <c r="B103" s="27" t="s">
        <v>83</v>
      </c>
      <c r="C103" s="27" t="b">
        <v>1</v>
      </c>
      <c r="D103" s="27" t="s">
        <v>58</v>
      </c>
      <c r="E103" s="27" t="s">
        <v>292</v>
      </c>
      <c r="F103" s="27" t="s">
        <v>341</v>
      </c>
    </row>
    <row r="104" spans="1:6" ht="46.5" x14ac:dyDescent="0.35">
      <c r="A104" s="27" t="s">
        <v>282</v>
      </c>
      <c r="B104" s="27" t="s">
        <v>84</v>
      </c>
      <c r="C104" s="27" t="s">
        <v>344</v>
      </c>
      <c r="D104" s="27" t="s">
        <v>58</v>
      </c>
      <c r="E104" s="27" t="s">
        <v>292</v>
      </c>
      <c r="F104" s="27" t="s">
        <v>342</v>
      </c>
    </row>
    <row r="105" spans="1:6" ht="15.5" x14ac:dyDescent="0.35">
      <c r="A105" s="27" t="s">
        <v>282</v>
      </c>
      <c r="B105" s="27" t="s">
        <v>86</v>
      </c>
      <c r="C105" s="27">
        <v>4.2</v>
      </c>
      <c r="D105" s="27" t="s">
        <v>58</v>
      </c>
      <c r="E105" s="27" t="s">
        <v>292</v>
      </c>
      <c r="F105" s="27" t="s">
        <v>345</v>
      </c>
    </row>
    <row r="106" spans="1:6" ht="15.5" x14ac:dyDescent="0.35">
      <c r="A106" s="27" t="s">
        <v>284</v>
      </c>
      <c r="B106" s="27" t="s">
        <v>83</v>
      </c>
      <c r="C106" s="27" t="b">
        <v>0</v>
      </c>
      <c r="D106" s="27" t="s">
        <v>58</v>
      </c>
      <c r="E106" s="27" t="s">
        <v>292</v>
      </c>
      <c r="F106" s="27" t="s">
        <v>346</v>
      </c>
    </row>
    <row r="107" spans="1:6" ht="46.5" x14ac:dyDescent="0.35">
      <c r="A107" s="27" t="s">
        <v>284</v>
      </c>
      <c r="B107" s="27" t="s">
        <v>84</v>
      </c>
      <c r="C107" s="27" t="s">
        <v>347</v>
      </c>
      <c r="D107" s="27" t="s">
        <v>58</v>
      </c>
      <c r="E107" s="27" t="s">
        <v>292</v>
      </c>
      <c r="F107" s="27" t="s">
        <v>342</v>
      </c>
    </row>
    <row r="108" spans="1:6" ht="31" x14ac:dyDescent="0.35">
      <c r="A108" s="27" t="s">
        <v>284</v>
      </c>
      <c r="B108" s="27" t="s">
        <v>86</v>
      </c>
      <c r="C108" s="27">
        <v>20</v>
      </c>
      <c r="D108" s="27" t="s">
        <v>58</v>
      </c>
      <c r="E108" s="27" t="s">
        <v>292</v>
      </c>
      <c r="F108" s="27" t="s">
        <v>348</v>
      </c>
    </row>
    <row r="109" spans="1:6" ht="31" x14ac:dyDescent="0.35">
      <c r="A109" s="27" t="s">
        <v>322</v>
      </c>
      <c r="B109" s="27" t="s">
        <v>86</v>
      </c>
      <c r="C109" s="27">
        <v>8</v>
      </c>
      <c r="D109" s="27" t="s">
        <v>64</v>
      </c>
      <c r="E109" s="27" t="s">
        <v>292</v>
      </c>
      <c r="F109" s="27" t="s">
        <v>349</v>
      </c>
    </row>
    <row r="110" spans="1:6" ht="31" x14ac:dyDescent="0.35">
      <c r="A110" s="27" t="s">
        <v>323</v>
      </c>
      <c r="B110" s="27" t="s">
        <v>86</v>
      </c>
      <c r="C110" s="27">
        <v>880</v>
      </c>
      <c r="D110" s="27" t="s">
        <v>64</v>
      </c>
      <c r="E110" s="27" t="s">
        <v>292</v>
      </c>
      <c r="F110" s="27" t="s">
        <v>350</v>
      </c>
    </row>
    <row r="111" spans="1:6" ht="31" x14ac:dyDescent="0.35">
      <c r="A111" s="27" t="s">
        <v>325</v>
      </c>
      <c r="B111" s="27" t="s">
        <v>86</v>
      </c>
      <c r="C111" s="27">
        <v>1680</v>
      </c>
      <c r="D111" s="27" t="s">
        <v>64</v>
      </c>
      <c r="E111" s="27" t="s">
        <v>292</v>
      </c>
      <c r="F111" s="27" t="s">
        <v>350</v>
      </c>
    </row>
    <row r="112" spans="1:6" ht="15.5" x14ac:dyDescent="0.35">
      <c r="A112" s="27" t="s">
        <v>257</v>
      </c>
      <c r="B112" s="27" t="s">
        <v>92</v>
      </c>
      <c r="C112" s="27">
        <v>10</v>
      </c>
      <c r="D112" s="27" t="s">
        <v>91</v>
      </c>
      <c r="E112" s="27" t="s">
        <v>292</v>
      </c>
      <c r="F112" s="27" t="s">
        <v>351</v>
      </c>
    </row>
    <row r="113" spans="1:6" ht="15.5" x14ac:dyDescent="0.35">
      <c r="A113" s="27" t="s">
        <v>250</v>
      </c>
      <c r="B113" s="27" t="s">
        <v>92</v>
      </c>
      <c r="C113" s="27">
        <v>15</v>
      </c>
      <c r="D113" s="27" t="s">
        <v>91</v>
      </c>
      <c r="E113" s="27" t="s">
        <v>292</v>
      </c>
      <c r="F113" s="27" t="s">
        <v>352</v>
      </c>
    </row>
    <row r="114" spans="1:6" ht="31" x14ac:dyDescent="0.35">
      <c r="A114" s="27" t="s">
        <v>303</v>
      </c>
      <c r="B114" s="27" t="s">
        <v>88</v>
      </c>
      <c r="C114" s="27" t="b">
        <v>0</v>
      </c>
      <c r="D114" s="27" t="s">
        <v>80</v>
      </c>
      <c r="E114" s="27" t="s">
        <v>292</v>
      </c>
      <c r="F114" s="27" t="s">
        <v>353</v>
      </c>
    </row>
    <row r="115" spans="1:6" ht="31" x14ac:dyDescent="0.35">
      <c r="A115" s="27" t="s">
        <v>303</v>
      </c>
      <c r="B115" s="27" t="s">
        <v>89</v>
      </c>
      <c r="C115" s="27" t="s">
        <v>90</v>
      </c>
      <c r="D115" s="27" t="s">
        <v>80</v>
      </c>
      <c r="E115" s="27" t="s">
        <v>292</v>
      </c>
      <c r="F115" s="27" t="s">
        <v>354</v>
      </c>
    </row>
    <row r="116" spans="1:6" ht="31" x14ac:dyDescent="0.35">
      <c r="A116" s="27" t="s">
        <v>305</v>
      </c>
      <c r="B116" s="27" t="s">
        <v>88</v>
      </c>
      <c r="C116" s="27" t="b">
        <v>1</v>
      </c>
      <c r="D116" s="27" t="s">
        <v>80</v>
      </c>
      <c r="E116" s="27" t="s">
        <v>292</v>
      </c>
      <c r="F116" s="27" t="s">
        <v>355</v>
      </c>
    </row>
    <row r="117" spans="1:6" ht="62" x14ac:dyDescent="0.35">
      <c r="A117" s="27" t="s">
        <v>305</v>
      </c>
      <c r="B117" s="27" t="s">
        <v>89</v>
      </c>
      <c r="C117" s="27" t="s">
        <v>356</v>
      </c>
      <c r="D117" s="27" t="s">
        <v>80</v>
      </c>
      <c r="E117" s="27" t="s">
        <v>292</v>
      </c>
      <c r="F117" s="27" t="s">
        <v>357</v>
      </c>
    </row>
  </sheetData>
  <mergeCells count="1">
    <mergeCell ref="A3:F3"/>
  </mergeCells>
  <dataValidations count="1">
    <dataValidation type="list" allowBlank="1" sqref="E5:E117" xr:uid="{00000000-0002-0000-0400-000000000000}">
      <formula1>"relationship,attribute"</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0"/>
  <sheetViews>
    <sheetView showGridLines="0" zoomScaleNormal="100" workbookViewId="0">
      <pane ySplit="4" topLeftCell="A65" activePane="bottomLeft" state="frozen"/>
      <selection pane="bottomLeft" activeCell="F79" sqref="F79"/>
    </sheetView>
  </sheetViews>
  <sheetFormatPr defaultColWidth="8.6328125" defaultRowHeight="15.5" x14ac:dyDescent="0.35"/>
  <cols>
    <col min="1" max="1" width="26" style="11" customWidth="1"/>
    <col min="2" max="2" width="18" style="11" customWidth="1"/>
    <col min="3" max="3" width="50" style="11" customWidth="1"/>
    <col min="4" max="4" width="24" style="11" customWidth="1"/>
    <col min="5" max="6" width="8.6328125" style="11" customWidth="1"/>
    <col min="7" max="16384" width="8.6328125" style="11"/>
  </cols>
  <sheetData>
    <row r="1" spans="1:14" x14ac:dyDescent="0.35">
      <c r="A1" s="21" t="s">
        <v>358</v>
      </c>
      <c r="B1" s="22"/>
      <c r="C1" s="22"/>
      <c r="D1" s="22"/>
    </row>
    <row r="2" spans="1:14" ht="33" customHeight="1" x14ac:dyDescent="0.35">
      <c r="A2" s="45" t="s">
        <v>359</v>
      </c>
      <c r="B2" s="35"/>
      <c r="C2" s="35"/>
      <c r="D2" s="35"/>
      <c r="E2" s="35"/>
      <c r="F2" s="35"/>
      <c r="G2" s="35"/>
      <c r="H2" s="35"/>
      <c r="I2" s="35"/>
      <c r="J2" s="35"/>
      <c r="K2" s="35"/>
      <c r="L2" s="35"/>
      <c r="M2" s="35"/>
      <c r="N2" s="35"/>
    </row>
    <row r="3" spans="1:14" x14ac:dyDescent="0.35">
      <c r="A3" s="44" t="s">
        <v>360</v>
      </c>
      <c r="B3" s="35"/>
      <c r="C3" s="35"/>
      <c r="D3" s="35"/>
    </row>
    <row r="4" spans="1:14" s="3" customFormat="1" ht="43" customHeight="1" x14ac:dyDescent="0.35">
      <c r="A4" s="1" t="s">
        <v>361</v>
      </c>
      <c r="B4" s="1" t="s">
        <v>100</v>
      </c>
      <c r="C4" s="1" t="s">
        <v>362</v>
      </c>
      <c r="D4" s="1" t="s">
        <v>363</v>
      </c>
    </row>
    <row r="5" spans="1:14" ht="51" customHeight="1" x14ac:dyDescent="0.35">
      <c r="A5" s="7" t="s">
        <v>8</v>
      </c>
      <c r="B5" s="7" t="s">
        <v>364</v>
      </c>
      <c r="C5" s="7" t="s">
        <v>365</v>
      </c>
      <c r="D5" s="7" t="s">
        <v>436</v>
      </c>
    </row>
    <row r="6" spans="1:14" ht="51" customHeight="1" x14ac:dyDescent="0.35">
      <c r="A6" s="7" t="s">
        <v>147</v>
      </c>
      <c r="B6" s="7" t="s">
        <v>364</v>
      </c>
      <c r="C6" s="7" t="s">
        <v>366</v>
      </c>
      <c r="D6" s="7" t="s">
        <v>437</v>
      </c>
    </row>
    <row r="7" spans="1:14" ht="34" customHeight="1" x14ac:dyDescent="0.35">
      <c r="A7" s="7" t="s">
        <v>91</v>
      </c>
      <c r="B7" s="7" t="s">
        <v>364</v>
      </c>
      <c r="C7" s="7" t="s">
        <v>367</v>
      </c>
      <c r="D7" s="7" t="s">
        <v>150</v>
      </c>
    </row>
    <row r="8" spans="1:14" ht="48.5" customHeight="1" x14ac:dyDescent="0.35">
      <c r="A8" s="7" t="s">
        <v>13</v>
      </c>
      <c r="B8" s="7" t="s">
        <v>364</v>
      </c>
      <c r="C8" s="7" t="s">
        <v>368</v>
      </c>
      <c r="D8" s="7" t="s">
        <v>16</v>
      </c>
    </row>
    <row r="9" spans="1:14" ht="34" customHeight="1" x14ac:dyDescent="0.35">
      <c r="A9" s="7" t="s">
        <v>17</v>
      </c>
      <c r="B9" s="7" t="s">
        <v>364</v>
      </c>
      <c r="C9" s="7" t="s">
        <v>369</v>
      </c>
      <c r="D9" s="7" t="s">
        <v>20</v>
      </c>
    </row>
    <row r="10" spans="1:14" ht="54.5" customHeight="1" x14ac:dyDescent="0.35">
      <c r="A10" s="27" t="s">
        <v>157</v>
      </c>
      <c r="B10" s="27" t="s">
        <v>364</v>
      </c>
      <c r="C10" s="27" t="s">
        <v>370</v>
      </c>
      <c r="D10" s="27" t="s">
        <v>159</v>
      </c>
    </row>
    <row r="11" spans="1:14" ht="52" customHeight="1" x14ac:dyDescent="0.35">
      <c r="A11" s="7" t="s">
        <v>21</v>
      </c>
      <c r="B11" s="7" t="s">
        <v>364</v>
      </c>
      <c r="C11" s="7" t="s">
        <v>371</v>
      </c>
      <c r="D11" s="7" t="s">
        <v>24</v>
      </c>
    </row>
    <row r="12" spans="1:14" ht="52.5" customHeight="1" x14ac:dyDescent="0.35">
      <c r="A12" s="7" t="s">
        <v>25</v>
      </c>
      <c r="B12" s="7" t="s">
        <v>364</v>
      </c>
      <c r="C12" s="7" t="s">
        <v>372</v>
      </c>
      <c r="D12" s="7" t="s">
        <v>164</v>
      </c>
    </row>
    <row r="13" spans="1:14" ht="34" customHeight="1" x14ac:dyDescent="0.35">
      <c r="A13" s="7" t="s">
        <v>165</v>
      </c>
      <c r="B13" s="7" t="s">
        <v>364</v>
      </c>
      <c r="C13" s="7" t="s">
        <v>373</v>
      </c>
      <c r="D13" s="7" t="s">
        <v>126</v>
      </c>
    </row>
    <row r="14" spans="1:14" ht="34" customHeight="1" x14ac:dyDescent="0.35">
      <c r="A14" s="7" t="s">
        <v>29</v>
      </c>
      <c r="B14" s="7" t="s">
        <v>364</v>
      </c>
      <c r="C14" s="7" t="s">
        <v>374</v>
      </c>
      <c r="D14" s="7" t="s">
        <v>32</v>
      </c>
    </row>
    <row r="15" spans="1:14" ht="34" customHeight="1" x14ac:dyDescent="0.35">
      <c r="A15" s="7" t="s">
        <v>33</v>
      </c>
      <c r="B15" s="7" t="s">
        <v>364</v>
      </c>
      <c r="C15" s="7" t="s">
        <v>375</v>
      </c>
      <c r="D15" s="7" t="s">
        <v>36</v>
      </c>
    </row>
    <row r="16" spans="1:14" ht="51" customHeight="1" x14ac:dyDescent="0.35">
      <c r="A16" s="7" t="s">
        <v>37</v>
      </c>
      <c r="B16" s="7" t="s">
        <v>364</v>
      </c>
      <c r="C16" s="7" t="s">
        <v>376</v>
      </c>
      <c r="D16" s="7" t="s">
        <v>432</v>
      </c>
    </row>
    <row r="17" spans="1:4" ht="59.5" customHeight="1" x14ac:dyDescent="0.35">
      <c r="A17" s="7" t="s">
        <v>54</v>
      </c>
      <c r="B17" s="7" t="s">
        <v>364</v>
      </c>
      <c r="C17" s="7" t="s">
        <v>435</v>
      </c>
      <c r="D17" s="7" t="s">
        <v>57</v>
      </c>
    </row>
    <row r="18" spans="1:4" ht="34" customHeight="1" x14ac:dyDescent="0.35">
      <c r="A18" s="7" t="s">
        <v>58</v>
      </c>
      <c r="B18" s="7" t="s">
        <v>364</v>
      </c>
      <c r="C18" s="7" t="s">
        <v>428</v>
      </c>
      <c r="D18" s="7" t="s">
        <v>61</v>
      </c>
    </row>
    <row r="19" spans="1:4" ht="34" customHeight="1" x14ac:dyDescent="0.35">
      <c r="A19" s="7" t="s">
        <v>64</v>
      </c>
      <c r="B19" s="7" t="s">
        <v>364</v>
      </c>
      <c r="C19" s="7" t="s">
        <v>429</v>
      </c>
      <c r="D19" s="7" t="s">
        <v>20</v>
      </c>
    </row>
    <row r="20" spans="1:4" ht="34" customHeight="1" x14ac:dyDescent="0.35">
      <c r="A20" s="7" t="s">
        <v>67</v>
      </c>
      <c r="B20" s="7" t="s">
        <v>364</v>
      </c>
      <c r="C20" s="7" t="s">
        <v>377</v>
      </c>
      <c r="D20" s="7" t="s">
        <v>57</v>
      </c>
    </row>
    <row r="21" spans="1:4" ht="34" customHeight="1" x14ac:dyDescent="0.35">
      <c r="A21" s="7" t="s">
        <v>71</v>
      </c>
      <c r="B21" s="7" t="s">
        <v>364</v>
      </c>
      <c r="C21" s="7" t="s">
        <v>378</v>
      </c>
      <c r="D21" s="7" t="s">
        <v>74</v>
      </c>
    </row>
    <row r="22" spans="1:4" ht="34" customHeight="1" x14ac:dyDescent="0.35">
      <c r="A22" s="7" t="s">
        <v>75</v>
      </c>
      <c r="B22" s="7" t="s">
        <v>364</v>
      </c>
      <c r="C22" s="7" t="s">
        <v>379</v>
      </c>
      <c r="D22" s="7" t="s">
        <v>49</v>
      </c>
    </row>
    <row r="23" spans="1:4" ht="34" customHeight="1" x14ac:dyDescent="0.35">
      <c r="A23" s="7" t="s">
        <v>80</v>
      </c>
      <c r="B23" s="7" t="s">
        <v>364</v>
      </c>
      <c r="C23" s="7" t="s">
        <v>430</v>
      </c>
      <c r="D23" s="7" t="s">
        <v>82</v>
      </c>
    </row>
    <row r="24" spans="1:4" ht="51" customHeight="1" x14ac:dyDescent="0.35">
      <c r="A24" s="7" t="s">
        <v>380</v>
      </c>
      <c r="B24" s="7" t="s">
        <v>381</v>
      </c>
      <c r="C24" s="7" t="s">
        <v>382</v>
      </c>
      <c r="D24" s="7" t="s">
        <v>204</v>
      </c>
    </row>
    <row r="25" spans="1:4" ht="34" customHeight="1" x14ac:dyDescent="0.35">
      <c r="A25" s="7" t="s">
        <v>383</v>
      </c>
      <c r="B25" s="7" t="s">
        <v>381</v>
      </c>
      <c r="C25" s="7" t="s">
        <v>384</v>
      </c>
      <c r="D25" s="7" t="s">
        <v>207</v>
      </c>
    </row>
    <row r="26" spans="1:4" ht="34" customHeight="1" x14ac:dyDescent="0.35">
      <c r="A26" s="7" t="s">
        <v>385</v>
      </c>
      <c r="B26" s="7" t="s">
        <v>381</v>
      </c>
      <c r="C26" s="7" t="s">
        <v>386</v>
      </c>
      <c r="D26" s="7" t="s">
        <v>28</v>
      </c>
    </row>
    <row r="27" spans="1:4" ht="51" customHeight="1" x14ac:dyDescent="0.35">
      <c r="A27" s="27" t="s">
        <v>387</v>
      </c>
      <c r="B27" s="27" t="s">
        <v>381</v>
      </c>
      <c r="C27" s="27" t="s">
        <v>388</v>
      </c>
      <c r="D27" s="27" t="s">
        <v>159</v>
      </c>
    </row>
    <row r="28" spans="1:4" ht="34" customHeight="1" x14ac:dyDescent="0.35">
      <c r="A28" s="7" t="s">
        <v>389</v>
      </c>
      <c r="B28" s="7" t="s">
        <v>381</v>
      </c>
      <c r="C28" s="7" t="s">
        <v>390</v>
      </c>
      <c r="D28" s="7" t="s">
        <v>16</v>
      </c>
    </row>
    <row r="29" spans="1:4" ht="51" customHeight="1" x14ac:dyDescent="0.35">
      <c r="A29" s="27" t="s">
        <v>391</v>
      </c>
      <c r="B29" s="27" t="s">
        <v>381</v>
      </c>
      <c r="C29" s="27" t="s">
        <v>392</v>
      </c>
      <c r="D29" s="27" t="s">
        <v>57</v>
      </c>
    </row>
    <row r="30" spans="1:4" ht="51" customHeight="1" x14ac:dyDescent="0.35">
      <c r="A30" s="27" t="s">
        <v>393</v>
      </c>
      <c r="B30" s="27" t="s">
        <v>381</v>
      </c>
      <c r="C30" s="27" t="s">
        <v>394</v>
      </c>
      <c r="D30" s="27" t="s">
        <v>40</v>
      </c>
    </row>
    <row r="31" spans="1:4" ht="34" customHeight="1" x14ac:dyDescent="0.35">
      <c r="A31" s="7" t="s">
        <v>395</v>
      </c>
      <c r="B31" s="7" t="s">
        <v>381</v>
      </c>
      <c r="C31" s="7" t="s">
        <v>396</v>
      </c>
      <c r="D31" s="7" t="s">
        <v>49</v>
      </c>
    </row>
    <row r="32" spans="1:4" ht="51" customHeight="1" x14ac:dyDescent="0.35">
      <c r="A32" s="7" t="s">
        <v>397</v>
      </c>
      <c r="B32" s="7" t="s">
        <v>381</v>
      </c>
      <c r="C32" s="7" t="s">
        <v>398</v>
      </c>
      <c r="D32" s="7" t="s">
        <v>229</v>
      </c>
    </row>
    <row r="33" spans="1:4" ht="34" customHeight="1" x14ac:dyDescent="0.35">
      <c r="A33" s="7" t="s">
        <v>399</v>
      </c>
      <c r="B33" s="7" t="s">
        <v>381</v>
      </c>
      <c r="C33" s="7" t="s">
        <v>400</v>
      </c>
      <c r="D33" s="7" t="s">
        <v>229</v>
      </c>
    </row>
    <row r="34" spans="1:4" ht="51" customHeight="1" x14ac:dyDescent="0.35">
      <c r="A34" s="7" t="s">
        <v>401</v>
      </c>
      <c r="B34" s="7" t="s">
        <v>381</v>
      </c>
      <c r="C34" s="7" t="s">
        <v>431</v>
      </c>
      <c r="D34" s="7" t="s">
        <v>82</v>
      </c>
    </row>
    <row r="35" spans="1:4" ht="34" customHeight="1" x14ac:dyDescent="0.35">
      <c r="A35" s="7" t="s">
        <v>433</v>
      </c>
      <c r="B35" s="7" t="s">
        <v>381</v>
      </c>
      <c r="C35" s="7" t="s">
        <v>402</v>
      </c>
      <c r="D35" s="7" t="s">
        <v>126</v>
      </c>
    </row>
    <row r="36" spans="1:4" ht="34" customHeight="1" x14ac:dyDescent="0.35">
      <c r="A36" s="7" t="s">
        <v>403</v>
      </c>
      <c r="B36" s="7" t="s">
        <v>381</v>
      </c>
      <c r="C36" s="7" t="s">
        <v>404</v>
      </c>
      <c r="D36" s="7" t="s">
        <v>20</v>
      </c>
    </row>
    <row r="37" spans="1:4" ht="51" customHeight="1" x14ac:dyDescent="0.35">
      <c r="A37" s="7" t="s">
        <v>434</v>
      </c>
      <c r="B37" s="7" t="s">
        <v>381</v>
      </c>
      <c r="C37" s="7" t="s">
        <v>405</v>
      </c>
      <c r="D37" s="7" t="s">
        <v>20</v>
      </c>
    </row>
    <row r="38" spans="1:4" ht="46.5" customHeight="1" x14ac:dyDescent="0.35">
      <c r="A38" s="7" t="s">
        <v>183</v>
      </c>
      <c r="B38" s="7" t="s">
        <v>364</v>
      </c>
      <c r="C38" s="7" t="s">
        <v>406</v>
      </c>
      <c r="D38" s="7" t="s">
        <v>132</v>
      </c>
    </row>
    <row r="39" spans="1:4" ht="31" customHeight="1" x14ac:dyDescent="0.35">
      <c r="A39" s="7" t="s">
        <v>185</v>
      </c>
      <c r="B39" s="7" t="s">
        <v>407</v>
      </c>
      <c r="C39" s="7" t="s">
        <v>408</v>
      </c>
      <c r="D39" s="7" t="s">
        <v>187</v>
      </c>
    </row>
    <row r="40" spans="1:4" ht="46.5" customHeight="1" x14ac:dyDescent="0.35">
      <c r="A40" s="7" t="s">
        <v>188</v>
      </c>
      <c r="B40" s="7" t="s">
        <v>407</v>
      </c>
      <c r="C40" s="7" t="s">
        <v>409</v>
      </c>
      <c r="D40" s="7" t="s">
        <v>16</v>
      </c>
    </row>
    <row r="41" spans="1:4" ht="31" customHeight="1" x14ac:dyDescent="0.35">
      <c r="A41" s="7" t="s">
        <v>190</v>
      </c>
      <c r="B41" s="7" t="s">
        <v>407</v>
      </c>
      <c r="C41" s="7" t="s">
        <v>410</v>
      </c>
      <c r="D41" s="7" t="s">
        <v>192</v>
      </c>
    </row>
    <row r="42" spans="1:4" ht="46.5" customHeight="1" x14ac:dyDescent="0.35">
      <c r="A42" s="7" t="s">
        <v>411</v>
      </c>
      <c r="B42" s="7" t="s">
        <v>381</v>
      </c>
      <c r="C42" s="7" t="s">
        <v>412</v>
      </c>
      <c r="D42" s="7" t="s">
        <v>238</v>
      </c>
    </row>
    <row r="43" spans="1:4" ht="62" customHeight="1" x14ac:dyDescent="0.35">
      <c r="A43" s="7" t="s">
        <v>413</v>
      </c>
      <c r="B43" s="7" t="s">
        <v>381</v>
      </c>
      <c r="C43" s="7" t="s">
        <v>414</v>
      </c>
      <c r="D43" s="7" t="s">
        <v>61</v>
      </c>
    </row>
    <row r="44" spans="1:4" ht="46.5" customHeight="1" x14ac:dyDescent="0.35">
      <c r="A44" s="7" t="s">
        <v>415</v>
      </c>
      <c r="B44" s="7" t="s">
        <v>381</v>
      </c>
      <c r="C44" s="7" t="s">
        <v>416</v>
      </c>
      <c r="D44" s="7" t="s">
        <v>238</v>
      </c>
    </row>
    <row r="45" spans="1:4" ht="46.5" customHeight="1" x14ac:dyDescent="0.35">
      <c r="A45" s="7" t="s">
        <v>417</v>
      </c>
      <c r="B45" s="7" t="s">
        <v>381</v>
      </c>
      <c r="C45" s="7" t="s">
        <v>418</v>
      </c>
      <c r="D45" s="7" t="s">
        <v>229</v>
      </c>
    </row>
    <row r="46" spans="1:4" ht="46.5" customHeight="1" x14ac:dyDescent="0.35">
      <c r="A46" s="7" t="s">
        <v>419</v>
      </c>
      <c r="B46" s="7" t="s">
        <v>381</v>
      </c>
      <c r="C46" s="7" t="s">
        <v>420</v>
      </c>
      <c r="D46" s="7" t="s">
        <v>40</v>
      </c>
    </row>
    <row r="47" spans="1:4" ht="46.5" customHeight="1" x14ac:dyDescent="0.35">
      <c r="A47" s="7" t="s">
        <v>421</v>
      </c>
      <c r="B47" s="7" t="s">
        <v>381</v>
      </c>
      <c r="C47" s="7" t="s">
        <v>422</v>
      </c>
      <c r="D47" s="7" t="s">
        <v>61</v>
      </c>
    </row>
    <row r="48" spans="1:4" ht="46.5" customHeight="1" x14ac:dyDescent="0.35">
      <c r="A48" s="7" t="s">
        <v>423</v>
      </c>
      <c r="B48" s="7" t="s">
        <v>424</v>
      </c>
      <c r="C48" s="7" t="s">
        <v>425</v>
      </c>
      <c r="D48" s="7" t="s">
        <v>28</v>
      </c>
    </row>
    <row r="49" spans="1:4" ht="46.5" customHeight="1" x14ac:dyDescent="0.35">
      <c r="A49" s="7" t="s">
        <v>426</v>
      </c>
      <c r="B49" s="7" t="s">
        <v>424</v>
      </c>
      <c r="C49" s="7" t="s">
        <v>427</v>
      </c>
      <c r="D49" s="7" t="s">
        <v>229</v>
      </c>
    </row>
    <row r="50" spans="1:4" x14ac:dyDescent="0.35">
      <c r="A50" s="5"/>
      <c r="B50" s="5"/>
      <c r="C50" s="5"/>
      <c r="D50" s="5"/>
    </row>
    <row r="51" spans="1:4" x14ac:dyDescent="0.35">
      <c r="A51" s="5"/>
      <c r="B51" s="5"/>
      <c r="C51" s="5"/>
      <c r="D51" s="5"/>
    </row>
    <row r="52" spans="1:4" x14ac:dyDescent="0.35">
      <c r="A52" s="5"/>
      <c r="B52" s="5"/>
      <c r="C52" s="5"/>
      <c r="D52" s="5"/>
    </row>
    <row r="53" spans="1:4" x14ac:dyDescent="0.35">
      <c r="A53" s="5"/>
      <c r="B53" s="5"/>
      <c r="C53" s="5"/>
      <c r="D53" s="5"/>
    </row>
    <row r="54" spans="1:4" x14ac:dyDescent="0.35">
      <c r="A54" s="5"/>
      <c r="B54" s="5"/>
      <c r="C54" s="5"/>
      <c r="D54" s="5"/>
    </row>
    <row r="55" spans="1:4" x14ac:dyDescent="0.35">
      <c r="A55" s="5"/>
      <c r="B55" s="5"/>
      <c r="C55" s="5"/>
      <c r="D55" s="5"/>
    </row>
    <row r="56" spans="1:4" x14ac:dyDescent="0.35">
      <c r="A56" s="5"/>
      <c r="B56" s="5"/>
      <c r="C56" s="5"/>
      <c r="D56" s="5"/>
    </row>
    <row r="57" spans="1:4" x14ac:dyDescent="0.35">
      <c r="A57" s="5"/>
      <c r="B57" s="5"/>
      <c r="C57" s="5"/>
      <c r="D57" s="5"/>
    </row>
    <row r="58" spans="1:4" x14ac:dyDescent="0.35">
      <c r="A58" s="5"/>
      <c r="B58" s="5"/>
      <c r="C58" s="5"/>
      <c r="D58" s="5"/>
    </row>
    <row r="59" spans="1:4" x14ac:dyDescent="0.35">
      <c r="A59" s="5"/>
      <c r="B59" s="5"/>
      <c r="C59" s="5"/>
      <c r="D59" s="5"/>
    </row>
    <row r="60" spans="1:4" x14ac:dyDescent="0.35">
      <c r="A60" s="5"/>
      <c r="B60" s="5"/>
      <c r="C60" s="5"/>
      <c r="D60" s="5"/>
    </row>
  </sheetData>
  <autoFilter ref="A4:N49" xr:uid="{00000000-0009-0000-0000-000005000000}"/>
  <mergeCells count="2">
    <mergeCell ref="A3:D3"/>
    <mergeCell ref="A2:N2"/>
  </mergeCells>
  <dataValidations count="1">
    <dataValidation type="list" allowBlank="1" sqref="B38:B60" xr:uid="{00000000-0002-0000-0500-000000000000}">
      <formula1>"Class,Relationship,Attribute"</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Competency Questions</vt:lpstr>
      <vt:lpstr>2. Classes</vt:lpstr>
      <vt:lpstr>3. Relationships</vt:lpstr>
      <vt:lpstr>4. Attributes</vt:lpstr>
      <vt:lpstr>5. Sample data</vt:lpstr>
      <vt:lpstr>6. Traceability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Van Tran</cp:lastModifiedBy>
  <cp:revision>0</cp:revision>
  <dcterms:created xsi:type="dcterms:W3CDTF">2026-08-01T04:20:28Z</dcterms:created>
  <dcterms:modified xsi:type="dcterms:W3CDTF">2026-09-22T17:01:32Z</dcterms:modified>
</cp:coreProperties>
</file>